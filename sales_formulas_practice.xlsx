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xr:revisionPtr revIDLastSave="0" documentId="8_{9A81A917-A798-4E73-B9DA-01E7F1597B50}" xr6:coauthVersionLast="47" xr6:coauthVersionMax="47" xr10:uidLastSave="{00000000-0000-0000-0000-000000000000}"/>
  <bookViews>
    <workbookView xWindow="0" yWindow="0" windowWidth="0" windowHeight="0" firstSheet="2" activeTab="2" xr2:uid="{00000000-000D-0000-FFFF-FFFF00000000}"/>
  </bookViews>
  <sheets>
    <sheet name="sales" sheetId="1" r:id="rId1"/>
    <sheet name="products" sheetId="2" r:id="rId2"/>
    <sheet name="summary" sheetId="4" r:id="rId3"/>
  </sheets>
  <definedNames>
    <definedName name="_xlnm._FilterDatabase" localSheetId="0" hidden="1">sales!$J$7:$J$7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4" l="1"/>
  <c r="F3" i="4"/>
  <c r="F4" i="4"/>
  <c r="F5" i="4"/>
  <c r="E2" i="4"/>
  <c r="B2" i="4"/>
  <c r="E3" i="4"/>
  <c r="E4" i="4"/>
  <c r="E5" i="4"/>
  <c r="G2" i="1"/>
  <c r="H2" i="1"/>
  <c r="G169" i="1"/>
  <c r="H169" i="1" s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I2" i="1" l="1"/>
  <c r="B5" i="4"/>
  <c r="B4" i="4"/>
  <c r="B3" i="4"/>
  <c r="B6" i="4"/>
</calcChain>
</file>

<file path=xl/sharedStrings.xml><?xml version="1.0" encoding="utf-8"?>
<sst xmlns="http://schemas.openxmlformats.org/spreadsheetml/2006/main" count="759" uniqueCount="214">
  <si>
    <t>Sale ID</t>
  </si>
  <si>
    <t>Date</t>
  </si>
  <si>
    <t>Commune</t>
  </si>
  <si>
    <t>Seller</t>
  </si>
  <si>
    <t>Product</t>
  </si>
  <si>
    <t>Quantity</t>
  </si>
  <si>
    <t>Unit price</t>
  </si>
  <si>
    <t>Revenue</t>
  </si>
  <si>
    <t>Total Revenue</t>
  </si>
  <si>
    <t>S083</t>
  </si>
  <si>
    <t>Plateau</t>
  </si>
  <si>
    <t>Mariam</t>
  </si>
  <si>
    <t>Savon</t>
  </si>
  <si>
    <t>S171</t>
  </si>
  <si>
    <t>Marcory</t>
  </si>
  <si>
    <t>S025</t>
  </si>
  <si>
    <t>Yopougon</t>
  </si>
  <si>
    <t>Koffi</t>
  </si>
  <si>
    <t>S046</t>
  </si>
  <si>
    <t>Attiéké 1kg</t>
  </si>
  <si>
    <t>S142</t>
  </si>
  <si>
    <t>Cocody</t>
  </si>
  <si>
    <t>Awa</t>
  </si>
  <si>
    <t>S036</t>
  </si>
  <si>
    <t>Abobo</t>
  </si>
  <si>
    <t>Huile 1L</t>
  </si>
  <si>
    <t>S047</t>
  </si>
  <si>
    <t>S079</t>
  </si>
  <si>
    <t>Sucre 1kg</t>
  </si>
  <si>
    <t>S088</t>
  </si>
  <si>
    <t>Lait en poudre 400g</t>
  </si>
  <si>
    <t>S129</t>
  </si>
  <si>
    <t>S157</t>
  </si>
  <si>
    <t>Riz 5kg</t>
  </si>
  <si>
    <t>S049</t>
  </si>
  <si>
    <t>S011</t>
  </si>
  <si>
    <t>S029</t>
  </si>
  <si>
    <t>S035</t>
  </si>
  <si>
    <t>S054</t>
  </si>
  <si>
    <t>S057</t>
  </si>
  <si>
    <t>S058</t>
  </si>
  <si>
    <t>S086</t>
  </si>
  <si>
    <t>S122</t>
  </si>
  <si>
    <t>S059</t>
  </si>
  <si>
    <t>Yao</t>
  </si>
  <si>
    <t>S020</t>
  </si>
  <si>
    <t>S039</t>
  </si>
  <si>
    <t>S044</t>
  </si>
  <si>
    <t>S082</t>
  </si>
  <si>
    <t>S116</t>
  </si>
  <si>
    <t>S163</t>
  </si>
  <si>
    <t>S179</t>
  </si>
  <si>
    <t>S131</t>
  </si>
  <si>
    <t>S124</t>
  </si>
  <si>
    <t>S008</t>
  </si>
  <si>
    <t>S022</t>
  </si>
  <si>
    <t>S061</t>
  </si>
  <si>
    <t>S077</t>
  </si>
  <si>
    <t>S098</t>
  </si>
  <si>
    <t>S016</t>
  </si>
  <si>
    <t>S024</t>
  </si>
  <si>
    <t>S027</t>
  </si>
  <si>
    <t>S041</t>
  </si>
  <si>
    <t>S136</t>
  </si>
  <si>
    <t>S081</t>
  </si>
  <si>
    <t>S107</t>
  </si>
  <si>
    <t>S033</t>
  </si>
  <si>
    <t>S075</t>
  </si>
  <si>
    <t>S166</t>
  </si>
  <si>
    <t>S110</t>
  </si>
  <si>
    <t>S117</t>
  </si>
  <si>
    <t>S143</t>
  </si>
  <si>
    <t>S145</t>
  </si>
  <si>
    <t>S067</t>
  </si>
  <si>
    <t>S068</t>
  </si>
  <si>
    <t>S072</t>
  </si>
  <si>
    <t>S153</t>
  </si>
  <si>
    <t>S173</t>
  </si>
  <si>
    <t>S043</t>
  </si>
  <si>
    <t>S125</t>
  </si>
  <si>
    <t>S004</t>
  </si>
  <si>
    <t>S019</t>
  </si>
  <si>
    <t>S139</t>
  </si>
  <si>
    <t>S115</t>
  </si>
  <si>
    <t>S028</t>
  </si>
  <si>
    <t>S133</t>
  </si>
  <si>
    <t>S108</t>
  </si>
  <si>
    <t>S175</t>
  </si>
  <si>
    <t>S030</t>
  </si>
  <si>
    <t>S060</t>
  </si>
  <si>
    <t>S130</t>
  </si>
  <si>
    <t>S152</t>
  </si>
  <si>
    <t>S015</t>
  </si>
  <si>
    <t>S053</t>
  </si>
  <si>
    <t>S096</t>
  </si>
  <si>
    <t>S149</t>
  </si>
  <si>
    <t>S156</t>
  </si>
  <si>
    <t>S074</t>
  </si>
  <si>
    <t>S023</t>
  </si>
  <si>
    <t>S102</t>
  </si>
  <si>
    <t>S151</t>
  </si>
  <si>
    <t>S158</t>
  </si>
  <si>
    <t>S001</t>
  </si>
  <si>
    <t>S009</t>
  </si>
  <si>
    <t>S042</t>
  </si>
  <si>
    <t>S062</t>
  </si>
  <si>
    <t>S070</t>
  </si>
  <si>
    <t>S076</t>
  </si>
  <si>
    <t>S021</t>
  </si>
  <si>
    <t>S126</t>
  </si>
  <si>
    <t>S127</t>
  </si>
  <si>
    <t>S161</t>
  </si>
  <si>
    <t>S003</t>
  </si>
  <si>
    <t>S031</t>
  </si>
  <si>
    <t>S137</t>
  </si>
  <si>
    <t>S038</t>
  </si>
  <si>
    <t>S066</t>
  </si>
  <si>
    <t>S103</t>
  </si>
  <si>
    <t>S141</t>
  </si>
  <si>
    <t>S013</t>
  </si>
  <si>
    <t>S121</t>
  </si>
  <si>
    <t>S123</t>
  </si>
  <si>
    <t>S069</t>
  </si>
  <si>
    <t>S092</t>
  </si>
  <si>
    <t>S100</t>
  </si>
  <si>
    <t>S104</t>
  </si>
  <si>
    <t>S159</t>
  </si>
  <si>
    <t>S162</t>
  </si>
  <si>
    <t>S165</t>
  </si>
  <si>
    <t>S080</t>
  </si>
  <si>
    <t>S091</t>
  </si>
  <si>
    <t>S097</t>
  </si>
  <si>
    <t>S118</t>
  </si>
  <si>
    <t>S135</t>
  </si>
  <si>
    <t>S146</t>
  </si>
  <si>
    <t>S034</t>
  </si>
  <si>
    <t>S094</t>
  </si>
  <si>
    <t>S148</t>
  </si>
  <si>
    <t>S174</t>
  </si>
  <si>
    <t>S140</t>
  </si>
  <si>
    <t>S056</t>
  </si>
  <si>
    <t>S065</t>
  </si>
  <si>
    <t>S155</t>
  </si>
  <si>
    <t>S099</t>
  </si>
  <si>
    <t>S128</t>
  </si>
  <si>
    <t>S160</t>
  </si>
  <si>
    <t>S105</t>
  </si>
  <si>
    <t>S138</t>
  </si>
  <si>
    <t>S150</t>
  </si>
  <si>
    <t>S168</t>
  </si>
  <si>
    <t>S172</t>
  </si>
  <si>
    <t>S005</t>
  </si>
  <si>
    <t>S010</t>
  </si>
  <si>
    <t>S018</t>
  </si>
  <si>
    <t>S032</t>
  </si>
  <si>
    <t>S111</t>
  </si>
  <si>
    <t>S114</t>
  </si>
  <si>
    <t>S164</t>
  </si>
  <si>
    <t>S026</t>
  </si>
  <si>
    <t>S084</t>
  </si>
  <si>
    <t>S170</t>
  </si>
  <si>
    <t>S063</t>
  </si>
  <si>
    <t>S051</t>
  </si>
  <si>
    <t>S119</t>
  </si>
  <si>
    <t>S120</t>
  </si>
  <si>
    <t>S045</t>
  </si>
  <si>
    <t>S093</t>
  </si>
  <si>
    <t>S101</t>
  </si>
  <si>
    <t>S017</t>
  </si>
  <si>
    <t>S037</t>
  </si>
  <si>
    <t>S078</t>
  </si>
  <si>
    <t>S085</t>
  </si>
  <si>
    <t>S048</t>
  </si>
  <si>
    <t>S055</t>
  </si>
  <si>
    <t>S109</t>
  </si>
  <si>
    <t>S006</t>
  </si>
  <si>
    <t>S050</t>
  </si>
  <si>
    <t>S134</t>
  </si>
  <si>
    <t>S154</t>
  </si>
  <si>
    <t>S176</t>
  </si>
  <si>
    <t>S178</t>
  </si>
  <si>
    <t>S144</t>
  </si>
  <si>
    <t>S169</t>
  </si>
  <si>
    <t>S180</t>
  </si>
  <si>
    <t>S014</t>
  </si>
  <si>
    <t>S089</t>
  </si>
  <si>
    <t>S106</t>
  </si>
  <si>
    <t>S073</t>
  </si>
  <si>
    <t>S167</t>
  </si>
  <si>
    <t>S064</t>
  </si>
  <si>
    <t>S090</t>
  </si>
  <si>
    <t>S132</t>
  </si>
  <si>
    <t>S177</t>
  </si>
  <si>
    <t>S007</t>
  </si>
  <si>
    <t>S012</t>
  </si>
  <si>
    <t>S095</t>
  </si>
  <si>
    <t>S002</t>
  </si>
  <si>
    <t>S040</t>
  </si>
  <si>
    <t>S087</t>
  </si>
  <si>
    <t>S113</t>
  </si>
  <si>
    <t>S147</t>
  </si>
  <si>
    <t>S052</t>
  </si>
  <si>
    <t>S071</t>
  </si>
  <si>
    <t>S112</t>
  </si>
  <si>
    <t>Category</t>
  </si>
  <si>
    <t>Unit price (FCFA)</t>
  </si>
  <si>
    <t>Unit cost (FCFA)</t>
  </si>
  <si>
    <t>Cereals</t>
  </si>
  <si>
    <t>Oils</t>
  </si>
  <si>
    <t>Sugar</t>
  </si>
  <si>
    <t>Hygiene</t>
  </si>
  <si>
    <t>Dairy</t>
  </si>
  <si>
    <t>Sales</t>
  </si>
  <si>
    <t>Average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</si>
</sst>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81"/>
  <sheetViews>
    <sheetView workbookViewId="0">
      <pane ySplit="1" topLeftCell="A2" activePane="bottomLeft" state="frozen"/>
      <selection pane="bottomLeft" activeCell="I12" sqref="I12"/>
    </sheetView>
  </sheetViews>
  <sheetFormatPr defaultRowHeight="15"/>
  <cols>
    <col min="1" max="1" width="10" customWidth="1"/>
    <col min="2" max="2" width="12" customWidth="1"/>
    <col min="3" max="3" width="14" customWidth="1"/>
    <col min="4" max="4" width="10" customWidth="1"/>
    <col min="5" max="5" width="22" customWidth="1"/>
    <col min="6" max="6" width="10" customWidth="1"/>
    <col min="9" max="9" width="15.5703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t="s">
        <v>8</v>
      </c>
    </row>
    <row r="2" spans="1:9">
      <c r="A2" s="2" t="s">
        <v>9</v>
      </c>
      <c r="B2" s="3">
        <v>46266</v>
      </c>
      <c r="C2" s="2" t="s">
        <v>10</v>
      </c>
      <c r="D2" s="2" t="s">
        <v>11</v>
      </c>
      <c r="E2" s="2" t="s">
        <v>12</v>
      </c>
      <c r="F2" s="2">
        <v>6</v>
      </c>
      <c r="G2">
        <f>_xlfn.XLOOKUP(E2, products!$A$2:$A$7, products!$C$2:$C$7)</f>
        <v>400</v>
      </c>
      <c r="H2">
        <f>F2*G2</f>
        <v>2400</v>
      </c>
      <c r="I2">
        <f>SUM(H2:H181)</f>
        <v>2154900</v>
      </c>
    </row>
    <row r="3" spans="1:9">
      <c r="A3" s="2" t="s">
        <v>13</v>
      </c>
      <c r="B3" s="3">
        <v>46266</v>
      </c>
      <c r="C3" s="2" t="s">
        <v>14</v>
      </c>
      <c r="D3" s="2" t="s">
        <v>11</v>
      </c>
      <c r="E3" s="2" t="s">
        <v>12</v>
      </c>
      <c r="F3" s="2">
        <v>1</v>
      </c>
      <c r="G3">
        <f>_xlfn.XLOOKUP(E3, products!$A$2:$A$7, products!$C$2:$C$7)</f>
        <v>400</v>
      </c>
      <c r="H3">
        <f t="shared" ref="H3:H66" si="0">F3*G3</f>
        <v>400</v>
      </c>
    </row>
    <row r="4" spans="1:9">
      <c r="A4" s="2" t="s">
        <v>15</v>
      </c>
      <c r="B4" s="3">
        <v>46267</v>
      </c>
      <c r="C4" s="2" t="s">
        <v>16</v>
      </c>
      <c r="D4" s="2" t="s">
        <v>17</v>
      </c>
      <c r="E4" s="2" t="s">
        <v>12</v>
      </c>
      <c r="F4" s="2">
        <v>10</v>
      </c>
      <c r="G4">
        <f>_xlfn.XLOOKUP(E4, products!$A$2:$A$7, products!$C$2:$C$7)</f>
        <v>400</v>
      </c>
      <c r="H4">
        <f t="shared" si="0"/>
        <v>4000</v>
      </c>
    </row>
    <row r="5" spans="1:9">
      <c r="A5" s="2" t="s">
        <v>18</v>
      </c>
      <c r="B5" s="3">
        <v>46267</v>
      </c>
      <c r="C5" s="2" t="s">
        <v>10</v>
      </c>
      <c r="D5" s="2" t="s">
        <v>11</v>
      </c>
      <c r="E5" s="2" t="s">
        <v>19</v>
      </c>
      <c r="F5" s="2">
        <v>5</v>
      </c>
      <c r="G5">
        <f>_xlfn.XLOOKUP(E5, products!$A$2:$A$7, products!$C$2:$C$7)</f>
        <v>700</v>
      </c>
      <c r="H5">
        <f t="shared" si="0"/>
        <v>3500</v>
      </c>
    </row>
    <row r="6" spans="1:9">
      <c r="A6" s="2" t="s">
        <v>20</v>
      </c>
      <c r="B6" s="3">
        <v>46267</v>
      </c>
      <c r="C6" s="2" t="s">
        <v>21</v>
      </c>
      <c r="D6" s="2" t="s">
        <v>22</v>
      </c>
      <c r="E6" s="2" t="s">
        <v>19</v>
      </c>
      <c r="F6" s="2">
        <v>4</v>
      </c>
      <c r="G6">
        <f>_xlfn.XLOOKUP(E6, products!$A$2:$A$7, products!$C$2:$C$7)</f>
        <v>700</v>
      </c>
      <c r="H6">
        <f t="shared" si="0"/>
        <v>2800</v>
      </c>
    </row>
    <row r="7" spans="1:9">
      <c r="A7" s="2" t="s">
        <v>23</v>
      </c>
      <c r="B7" s="3">
        <v>46268</v>
      </c>
      <c r="C7" s="2" t="s">
        <v>24</v>
      </c>
      <c r="D7" s="2" t="s">
        <v>11</v>
      </c>
      <c r="E7" s="2" t="s">
        <v>25</v>
      </c>
      <c r="F7" s="2">
        <v>12</v>
      </c>
      <c r="G7">
        <f>_xlfn.XLOOKUP(E7, products!$A$2:$A$7, products!$C$2:$C$7)</f>
        <v>1800</v>
      </c>
      <c r="H7">
        <f t="shared" si="0"/>
        <v>21600</v>
      </c>
    </row>
    <row r="8" spans="1:9">
      <c r="A8" s="2" t="s">
        <v>26</v>
      </c>
      <c r="B8" s="3">
        <v>46268</v>
      </c>
      <c r="C8" s="2" t="s">
        <v>21</v>
      </c>
      <c r="D8" s="2" t="s">
        <v>22</v>
      </c>
      <c r="E8" s="2" t="s">
        <v>12</v>
      </c>
      <c r="F8" s="2">
        <v>2</v>
      </c>
      <c r="G8">
        <f>_xlfn.XLOOKUP(E8, products!$A$2:$A$7, products!$C$2:$C$7)</f>
        <v>400</v>
      </c>
      <c r="H8">
        <f t="shared" si="0"/>
        <v>800</v>
      </c>
    </row>
    <row r="9" spans="1:9">
      <c r="A9" s="2" t="s">
        <v>27</v>
      </c>
      <c r="B9" s="3">
        <v>46268</v>
      </c>
      <c r="C9" s="2" t="s">
        <v>16</v>
      </c>
      <c r="D9" s="2" t="s">
        <v>17</v>
      </c>
      <c r="E9" s="2" t="s">
        <v>28</v>
      </c>
      <c r="F9" s="2">
        <v>6</v>
      </c>
      <c r="G9">
        <f>_xlfn.XLOOKUP(E9, products!$A$2:$A$7, products!$C$2:$C$7)</f>
        <v>1000</v>
      </c>
      <c r="H9">
        <f t="shared" si="0"/>
        <v>6000</v>
      </c>
    </row>
    <row r="10" spans="1:9">
      <c r="A10" s="2" t="s">
        <v>29</v>
      </c>
      <c r="B10" s="3">
        <v>46268</v>
      </c>
      <c r="C10" s="2" t="s">
        <v>10</v>
      </c>
      <c r="D10" s="2" t="s">
        <v>11</v>
      </c>
      <c r="E10" s="2" t="s">
        <v>30</v>
      </c>
      <c r="F10" s="2">
        <v>7</v>
      </c>
      <c r="G10">
        <f>_xlfn.XLOOKUP(E10, products!$A$2:$A$7, products!$C$2:$C$7)</f>
        <v>3200</v>
      </c>
      <c r="H10">
        <f t="shared" si="0"/>
        <v>22400</v>
      </c>
    </row>
    <row r="11" spans="1:9">
      <c r="A11" s="2" t="s">
        <v>31</v>
      </c>
      <c r="B11" s="3">
        <v>46268</v>
      </c>
      <c r="C11" s="2" t="s">
        <v>16</v>
      </c>
      <c r="D11" s="2" t="s">
        <v>17</v>
      </c>
      <c r="E11" s="2" t="s">
        <v>12</v>
      </c>
      <c r="F11" s="2">
        <v>8</v>
      </c>
      <c r="G11">
        <f>_xlfn.XLOOKUP(E11, products!$A$2:$A$7, products!$C$2:$C$7)</f>
        <v>400</v>
      </c>
      <c r="H11">
        <f t="shared" si="0"/>
        <v>3200</v>
      </c>
    </row>
    <row r="12" spans="1:9">
      <c r="A12" s="2" t="s">
        <v>32</v>
      </c>
      <c r="B12" s="3">
        <v>46269</v>
      </c>
      <c r="C12" s="2" t="s">
        <v>24</v>
      </c>
      <c r="D12" s="2" t="s">
        <v>11</v>
      </c>
      <c r="E12" s="2" t="s">
        <v>33</v>
      </c>
      <c r="F12" s="2">
        <v>4</v>
      </c>
      <c r="G12">
        <f>_xlfn.XLOOKUP(E12, products!$A$2:$A$7, products!$C$2:$C$7)</f>
        <v>4500</v>
      </c>
      <c r="H12">
        <f t="shared" si="0"/>
        <v>18000</v>
      </c>
    </row>
    <row r="13" spans="1:9">
      <c r="A13" s="2" t="s">
        <v>34</v>
      </c>
      <c r="B13" s="3">
        <v>46270</v>
      </c>
      <c r="C13" s="2" t="s">
        <v>10</v>
      </c>
      <c r="D13" s="2" t="s">
        <v>11</v>
      </c>
      <c r="E13" s="2" t="s">
        <v>19</v>
      </c>
      <c r="F13" s="2">
        <v>1</v>
      </c>
      <c r="G13">
        <f>_xlfn.XLOOKUP(E13, products!$A$2:$A$7, products!$C$2:$C$7)</f>
        <v>700</v>
      </c>
      <c r="H13">
        <f t="shared" si="0"/>
        <v>700</v>
      </c>
    </row>
    <row r="14" spans="1:9">
      <c r="A14" s="2" t="s">
        <v>35</v>
      </c>
      <c r="B14" s="3">
        <v>46271</v>
      </c>
      <c r="C14" s="2" t="s">
        <v>10</v>
      </c>
      <c r="D14" s="2" t="s">
        <v>11</v>
      </c>
      <c r="E14" s="2" t="s">
        <v>12</v>
      </c>
      <c r="F14" s="2">
        <v>9</v>
      </c>
      <c r="G14">
        <f>_xlfn.XLOOKUP(E14, products!$A$2:$A$7, products!$C$2:$C$7)</f>
        <v>400</v>
      </c>
      <c r="H14">
        <f t="shared" si="0"/>
        <v>3600</v>
      </c>
    </row>
    <row r="15" spans="1:9">
      <c r="A15" s="2" t="s">
        <v>36</v>
      </c>
      <c r="B15" s="3">
        <v>46271</v>
      </c>
      <c r="C15" s="2" t="s">
        <v>16</v>
      </c>
      <c r="D15" s="2" t="s">
        <v>17</v>
      </c>
      <c r="E15" s="2" t="s">
        <v>33</v>
      </c>
      <c r="F15" s="2">
        <v>10</v>
      </c>
      <c r="G15">
        <f>_xlfn.XLOOKUP(E15, products!$A$2:$A$7, products!$C$2:$C$7)</f>
        <v>4500</v>
      </c>
      <c r="H15">
        <f t="shared" si="0"/>
        <v>45000</v>
      </c>
    </row>
    <row r="16" spans="1:9">
      <c r="A16" s="2" t="s">
        <v>37</v>
      </c>
      <c r="B16" s="3">
        <v>46271</v>
      </c>
      <c r="C16" s="2" t="s">
        <v>10</v>
      </c>
      <c r="D16" s="2" t="s">
        <v>22</v>
      </c>
      <c r="E16" s="2" t="s">
        <v>33</v>
      </c>
      <c r="F16" s="2">
        <v>2</v>
      </c>
      <c r="G16">
        <f>_xlfn.XLOOKUP(E16, products!$A$2:$A$7, products!$C$2:$C$7)</f>
        <v>4500</v>
      </c>
      <c r="H16">
        <f t="shared" si="0"/>
        <v>9000</v>
      </c>
    </row>
    <row r="17" spans="1:8">
      <c r="A17" s="2" t="s">
        <v>38</v>
      </c>
      <c r="B17" s="3">
        <v>46271</v>
      </c>
      <c r="C17" s="2" t="s">
        <v>21</v>
      </c>
      <c r="D17" s="2" t="s">
        <v>22</v>
      </c>
      <c r="E17" s="2" t="s">
        <v>28</v>
      </c>
      <c r="F17" s="2">
        <v>7</v>
      </c>
      <c r="G17">
        <f>_xlfn.XLOOKUP(E17, products!$A$2:$A$7, products!$C$2:$C$7)</f>
        <v>1000</v>
      </c>
      <c r="H17">
        <f t="shared" si="0"/>
        <v>7000</v>
      </c>
    </row>
    <row r="18" spans="1:8">
      <c r="A18" s="2" t="s">
        <v>39</v>
      </c>
      <c r="B18" s="3">
        <v>46271</v>
      </c>
      <c r="C18" s="2" t="s">
        <v>24</v>
      </c>
      <c r="D18" s="2" t="s">
        <v>22</v>
      </c>
      <c r="E18" s="2" t="s">
        <v>28</v>
      </c>
      <c r="F18" s="2">
        <v>10</v>
      </c>
      <c r="G18">
        <f>_xlfn.XLOOKUP(E18, products!$A$2:$A$7, products!$C$2:$C$7)</f>
        <v>1000</v>
      </c>
      <c r="H18">
        <f t="shared" si="0"/>
        <v>10000</v>
      </c>
    </row>
    <row r="19" spans="1:8">
      <c r="A19" s="2" t="s">
        <v>40</v>
      </c>
      <c r="B19" s="3">
        <v>46271</v>
      </c>
      <c r="C19" s="2" t="s">
        <v>10</v>
      </c>
      <c r="D19" s="2" t="s">
        <v>22</v>
      </c>
      <c r="E19" s="2" t="s">
        <v>25</v>
      </c>
      <c r="F19" s="2">
        <v>12</v>
      </c>
      <c r="G19">
        <f>_xlfn.XLOOKUP(E19, products!$A$2:$A$7, products!$C$2:$C$7)</f>
        <v>1800</v>
      </c>
      <c r="H19">
        <f t="shared" si="0"/>
        <v>21600</v>
      </c>
    </row>
    <row r="20" spans="1:8">
      <c r="A20" s="2" t="s">
        <v>41</v>
      </c>
      <c r="B20" s="3">
        <v>46271</v>
      </c>
      <c r="C20" s="2" t="s">
        <v>14</v>
      </c>
      <c r="D20" s="2" t="s">
        <v>11</v>
      </c>
      <c r="E20" s="2" t="s">
        <v>28</v>
      </c>
      <c r="F20" s="2">
        <v>12</v>
      </c>
      <c r="G20">
        <f>_xlfn.XLOOKUP(E20, products!$A$2:$A$7, products!$C$2:$C$7)</f>
        <v>1000</v>
      </c>
      <c r="H20">
        <f t="shared" si="0"/>
        <v>12000</v>
      </c>
    </row>
    <row r="21" spans="1:8">
      <c r="A21" s="2" t="s">
        <v>42</v>
      </c>
      <c r="B21" s="3">
        <v>46272</v>
      </c>
      <c r="C21" s="2" t="s">
        <v>21</v>
      </c>
      <c r="D21" s="2" t="s">
        <v>22</v>
      </c>
      <c r="E21" s="2" t="s">
        <v>30</v>
      </c>
      <c r="F21" s="2">
        <v>10</v>
      </c>
      <c r="G21">
        <f>_xlfn.XLOOKUP(E21, products!$A$2:$A$7, products!$C$2:$C$7)</f>
        <v>3200</v>
      </c>
      <c r="H21">
        <f t="shared" si="0"/>
        <v>32000</v>
      </c>
    </row>
    <row r="22" spans="1:8">
      <c r="A22" s="2" t="s">
        <v>43</v>
      </c>
      <c r="B22" s="3">
        <v>46273</v>
      </c>
      <c r="C22" s="2" t="s">
        <v>10</v>
      </c>
      <c r="D22" s="2" t="s">
        <v>44</v>
      </c>
      <c r="E22" s="2" t="s">
        <v>28</v>
      </c>
      <c r="F22" s="2">
        <v>1</v>
      </c>
      <c r="G22">
        <f>_xlfn.XLOOKUP(E22, products!$A$2:$A$7, products!$C$2:$C$7)</f>
        <v>1000</v>
      </c>
      <c r="H22">
        <f t="shared" si="0"/>
        <v>1000</v>
      </c>
    </row>
    <row r="23" spans="1:8">
      <c r="A23" s="2" t="s">
        <v>45</v>
      </c>
      <c r="B23" s="3">
        <v>46274</v>
      </c>
      <c r="C23" s="2" t="s">
        <v>16</v>
      </c>
      <c r="D23" s="2" t="s">
        <v>22</v>
      </c>
      <c r="E23" s="2" t="s">
        <v>33</v>
      </c>
      <c r="F23" s="2">
        <v>1</v>
      </c>
      <c r="G23">
        <f>_xlfn.XLOOKUP(E23, products!$A$2:$A$7, products!$C$2:$C$7)</f>
        <v>4500</v>
      </c>
      <c r="H23">
        <f t="shared" si="0"/>
        <v>4500</v>
      </c>
    </row>
    <row r="24" spans="1:8">
      <c r="A24" s="2" t="s">
        <v>46</v>
      </c>
      <c r="B24" s="3">
        <v>46274</v>
      </c>
      <c r="C24" s="2" t="s">
        <v>16</v>
      </c>
      <c r="D24" s="2" t="s">
        <v>44</v>
      </c>
      <c r="E24" s="2" t="s">
        <v>30</v>
      </c>
      <c r="F24" s="2">
        <v>11</v>
      </c>
      <c r="G24">
        <f>_xlfn.XLOOKUP(E24, products!$A$2:$A$7, products!$C$2:$C$7)</f>
        <v>3200</v>
      </c>
      <c r="H24">
        <f t="shared" si="0"/>
        <v>35200</v>
      </c>
    </row>
    <row r="25" spans="1:8">
      <c r="A25" s="2" t="s">
        <v>47</v>
      </c>
      <c r="B25" s="3">
        <v>46274</v>
      </c>
      <c r="C25" s="2" t="s">
        <v>10</v>
      </c>
      <c r="D25" s="2" t="s">
        <v>11</v>
      </c>
      <c r="E25" s="2" t="s">
        <v>19</v>
      </c>
      <c r="F25" s="2">
        <v>12</v>
      </c>
      <c r="G25">
        <f>_xlfn.XLOOKUP(E25, products!$A$2:$A$7, products!$C$2:$C$7)</f>
        <v>700</v>
      </c>
      <c r="H25">
        <f t="shared" si="0"/>
        <v>8400</v>
      </c>
    </row>
    <row r="26" spans="1:8">
      <c r="A26" s="2" t="s">
        <v>48</v>
      </c>
      <c r="B26" s="3">
        <v>46274</v>
      </c>
      <c r="C26" s="2" t="s">
        <v>10</v>
      </c>
      <c r="D26" s="2" t="s">
        <v>44</v>
      </c>
      <c r="E26" s="2" t="s">
        <v>25</v>
      </c>
      <c r="F26" s="2">
        <v>11</v>
      </c>
      <c r="G26">
        <f>_xlfn.XLOOKUP(E26, products!$A$2:$A$7, products!$C$2:$C$7)</f>
        <v>1800</v>
      </c>
      <c r="H26">
        <f t="shared" si="0"/>
        <v>19800</v>
      </c>
    </row>
    <row r="27" spans="1:8">
      <c r="A27" s="2" t="s">
        <v>49</v>
      </c>
      <c r="B27" s="3">
        <v>46274</v>
      </c>
      <c r="C27" s="2" t="s">
        <v>16</v>
      </c>
      <c r="D27" s="2" t="s">
        <v>17</v>
      </c>
      <c r="E27" s="2" t="s">
        <v>19</v>
      </c>
      <c r="F27" s="2">
        <v>2</v>
      </c>
      <c r="G27">
        <f>_xlfn.XLOOKUP(E27, products!$A$2:$A$7, products!$C$2:$C$7)</f>
        <v>700</v>
      </c>
      <c r="H27">
        <f t="shared" si="0"/>
        <v>1400</v>
      </c>
    </row>
    <row r="28" spans="1:8">
      <c r="A28" s="2" t="s">
        <v>50</v>
      </c>
      <c r="B28" s="3">
        <v>46274</v>
      </c>
      <c r="C28" s="2" t="s">
        <v>10</v>
      </c>
      <c r="D28" s="2" t="s">
        <v>44</v>
      </c>
      <c r="E28" s="2" t="s">
        <v>30</v>
      </c>
      <c r="F28" s="2">
        <v>5</v>
      </c>
      <c r="G28">
        <f>_xlfn.XLOOKUP(E28, products!$A$2:$A$7, products!$C$2:$C$7)</f>
        <v>3200</v>
      </c>
      <c r="H28">
        <f t="shared" si="0"/>
        <v>16000</v>
      </c>
    </row>
    <row r="29" spans="1:8">
      <c r="A29" s="2" t="s">
        <v>51</v>
      </c>
      <c r="B29" s="3">
        <v>46275</v>
      </c>
      <c r="C29" s="2" t="s">
        <v>24</v>
      </c>
      <c r="D29" s="2" t="s">
        <v>11</v>
      </c>
      <c r="E29" s="2" t="s">
        <v>28</v>
      </c>
      <c r="F29" s="2">
        <v>9</v>
      </c>
      <c r="G29">
        <f>_xlfn.XLOOKUP(E29, products!$A$2:$A$7, products!$C$2:$C$7)</f>
        <v>1000</v>
      </c>
      <c r="H29">
        <f t="shared" si="0"/>
        <v>9000</v>
      </c>
    </row>
    <row r="30" spans="1:8">
      <c r="A30" s="2" t="s">
        <v>52</v>
      </c>
      <c r="B30" s="3">
        <v>46276</v>
      </c>
      <c r="C30" s="2" t="s">
        <v>21</v>
      </c>
      <c r="D30" s="2" t="s">
        <v>22</v>
      </c>
      <c r="E30" s="2" t="s">
        <v>28</v>
      </c>
      <c r="F30" s="2">
        <v>2</v>
      </c>
      <c r="G30">
        <f>_xlfn.XLOOKUP(E30, products!$A$2:$A$7, products!$C$2:$C$7)</f>
        <v>1000</v>
      </c>
      <c r="H30">
        <f t="shared" si="0"/>
        <v>2000</v>
      </c>
    </row>
    <row r="31" spans="1:8">
      <c r="A31" s="2" t="s">
        <v>53</v>
      </c>
      <c r="B31" s="3">
        <v>46277</v>
      </c>
      <c r="C31" s="2" t="s">
        <v>21</v>
      </c>
      <c r="D31" s="2" t="s">
        <v>17</v>
      </c>
      <c r="E31" s="2" t="s">
        <v>25</v>
      </c>
      <c r="F31" s="2">
        <v>3</v>
      </c>
      <c r="G31">
        <f>_xlfn.XLOOKUP(E31, products!$A$2:$A$7, products!$C$2:$C$7)</f>
        <v>1800</v>
      </c>
      <c r="H31">
        <f t="shared" si="0"/>
        <v>5400</v>
      </c>
    </row>
    <row r="32" spans="1:8">
      <c r="A32" s="2" t="s">
        <v>54</v>
      </c>
      <c r="B32" s="3">
        <v>46278</v>
      </c>
      <c r="C32" s="2" t="s">
        <v>16</v>
      </c>
      <c r="D32" s="2" t="s">
        <v>22</v>
      </c>
      <c r="E32" s="2" t="s">
        <v>12</v>
      </c>
      <c r="F32" s="2">
        <v>6</v>
      </c>
      <c r="G32">
        <f>_xlfn.XLOOKUP(E32, products!$A$2:$A$7, products!$C$2:$C$7)</f>
        <v>400</v>
      </c>
      <c r="H32">
        <f t="shared" si="0"/>
        <v>2400</v>
      </c>
    </row>
    <row r="33" spans="1:8">
      <c r="A33" s="2" t="s">
        <v>55</v>
      </c>
      <c r="B33" s="3">
        <v>46278</v>
      </c>
      <c r="C33" s="2" t="s">
        <v>10</v>
      </c>
      <c r="D33" s="2" t="s">
        <v>17</v>
      </c>
      <c r="E33" s="2" t="s">
        <v>19</v>
      </c>
      <c r="F33" s="2">
        <v>3</v>
      </c>
      <c r="G33">
        <f>_xlfn.XLOOKUP(E33, products!$A$2:$A$7, products!$C$2:$C$7)</f>
        <v>700</v>
      </c>
      <c r="H33">
        <f t="shared" si="0"/>
        <v>2100</v>
      </c>
    </row>
    <row r="34" spans="1:8">
      <c r="A34" s="2" t="s">
        <v>56</v>
      </c>
      <c r="B34" s="3">
        <v>46278</v>
      </c>
      <c r="C34" s="2" t="s">
        <v>24</v>
      </c>
      <c r="D34" s="2" t="s">
        <v>17</v>
      </c>
      <c r="E34" s="2" t="s">
        <v>28</v>
      </c>
      <c r="F34" s="2">
        <v>11</v>
      </c>
      <c r="G34">
        <f>_xlfn.XLOOKUP(E34, products!$A$2:$A$7, products!$C$2:$C$7)</f>
        <v>1000</v>
      </c>
      <c r="H34">
        <f t="shared" si="0"/>
        <v>11000</v>
      </c>
    </row>
    <row r="35" spans="1:8">
      <c r="A35" s="2" t="s">
        <v>57</v>
      </c>
      <c r="B35" s="3">
        <v>46278</v>
      </c>
      <c r="C35" s="2" t="s">
        <v>16</v>
      </c>
      <c r="D35" s="2" t="s">
        <v>44</v>
      </c>
      <c r="E35" s="2" t="s">
        <v>28</v>
      </c>
      <c r="F35" s="2">
        <v>3</v>
      </c>
      <c r="G35">
        <f>_xlfn.XLOOKUP(E35, products!$A$2:$A$7, products!$C$2:$C$7)</f>
        <v>1000</v>
      </c>
      <c r="H35">
        <f t="shared" si="0"/>
        <v>3000</v>
      </c>
    </row>
    <row r="36" spans="1:8">
      <c r="A36" s="2" t="s">
        <v>58</v>
      </c>
      <c r="B36" s="3">
        <v>46278</v>
      </c>
      <c r="C36" s="2" t="s">
        <v>10</v>
      </c>
      <c r="D36" s="2" t="s">
        <v>22</v>
      </c>
      <c r="E36" s="2" t="s">
        <v>30</v>
      </c>
      <c r="F36" s="2">
        <v>1</v>
      </c>
      <c r="G36">
        <f>_xlfn.XLOOKUP(E36, products!$A$2:$A$7, products!$C$2:$C$7)</f>
        <v>3200</v>
      </c>
      <c r="H36">
        <f t="shared" si="0"/>
        <v>3200</v>
      </c>
    </row>
    <row r="37" spans="1:8">
      <c r="A37" s="2" t="s">
        <v>59</v>
      </c>
      <c r="B37" s="3">
        <v>46279</v>
      </c>
      <c r="C37" s="2" t="s">
        <v>16</v>
      </c>
      <c r="D37" s="2" t="s">
        <v>22</v>
      </c>
      <c r="E37" s="2" t="s">
        <v>12</v>
      </c>
      <c r="F37" s="2">
        <v>7</v>
      </c>
      <c r="G37">
        <f>_xlfn.XLOOKUP(E37, products!$A$2:$A$7, products!$C$2:$C$7)</f>
        <v>400</v>
      </c>
      <c r="H37">
        <f t="shared" si="0"/>
        <v>2800</v>
      </c>
    </row>
    <row r="38" spans="1:8">
      <c r="A38" s="2" t="s">
        <v>60</v>
      </c>
      <c r="B38" s="3">
        <v>46279</v>
      </c>
      <c r="C38" s="2" t="s">
        <v>21</v>
      </c>
      <c r="D38" s="2" t="s">
        <v>11</v>
      </c>
      <c r="E38" s="2" t="s">
        <v>30</v>
      </c>
      <c r="F38" s="2">
        <v>5</v>
      </c>
      <c r="G38">
        <f>_xlfn.XLOOKUP(E38, products!$A$2:$A$7, products!$C$2:$C$7)</f>
        <v>3200</v>
      </c>
      <c r="H38">
        <f t="shared" si="0"/>
        <v>16000</v>
      </c>
    </row>
    <row r="39" spans="1:8">
      <c r="A39" s="2" t="s">
        <v>61</v>
      </c>
      <c r="B39" s="3">
        <v>46279</v>
      </c>
      <c r="C39" s="2" t="s">
        <v>10</v>
      </c>
      <c r="D39" s="2" t="s">
        <v>11</v>
      </c>
      <c r="E39" s="2" t="s">
        <v>33</v>
      </c>
      <c r="F39" s="2">
        <v>10</v>
      </c>
      <c r="G39">
        <f>_xlfn.XLOOKUP(E39, products!$A$2:$A$7, products!$C$2:$C$7)</f>
        <v>4500</v>
      </c>
      <c r="H39">
        <f t="shared" si="0"/>
        <v>45000</v>
      </c>
    </row>
    <row r="40" spans="1:8">
      <c r="A40" s="2" t="s">
        <v>62</v>
      </c>
      <c r="B40" s="3">
        <v>46279</v>
      </c>
      <c r="C40" s="2" t="s">
        <v>21</v>
      </c>
      <c r="D40" s="2" t="s">
        <v>22</v>
      </c>
      <c r="E40" s="2" t="s">
        <v>28</v>
      </c>
      <c r="F40" s="2">
        <v>7</v>
      </c>
      <c r="G40">
        <f>_xlfn.XLOOKUP(E40, products!$A$2:$A$7, products!$C$2:$C$7)</f>
        <v>1000</v>
      </c>
      <c r="H40">
        <f t="shared" si="0"/>
        <v>7000</v>
      </c>
    </row>
    <row r="41" spans="1:8">
      <c r="A41" s="2" t="s">
        <v>63</v>
      </c>
      <c r="B41" s="3">
        <v>46279</v>
      </c>
      <c r="C41" s="2" t="s">
        <v>16</v>
      </c>
      <c r="D41" s="2" t="s">
        <v>22</v>
      </c>
      <c r="E41" s="2" t="s">
        <v>28</v>
      </c>
      <c r="F41" s="2">
        <v>5</v>
      </c>
      <c r="G41">
        <f>_xlfn.XLOOKUP(E41, products!$A$2:$A$7, products!$C$2:$C$7)</f>
        <v>1000</v>
      </c>
      <c r="H41">
        <f t="shared" si="0"/>
        <v>5000</v>
      </c>
    </row>
    <row r="42" spans="1:8">
      <c r="A42" s="2" t="s">
        <v>64</v>
      </c>
      <c r="B42" s="3">
        <v>46280</v>
      </c>
      <c r="C42" s="2" t="s">
        <v>21</v>
      </c>
      <c r="D42" s="2" t="s">
        <v>44</v>
      </c>
      <c r="E42" s="2" t="s">
        <v>19</v>
      </c>
      <c r="F42" s="2">
        <v>7</v>
      </c>
      <c r="G42">
        <f>_xlfn.XLOOKUP(E42, products!$A$2:$A$7, products!$C$2:$C$7)</f>
        <v>700</v>
      </c>
      <c r="H42">
        <f t="shared" si="0"/>
        <v>4900</v>
      </c>
    </row>
    <row r="43" spans="1:8">
      <c r="A43" s="2" t="s">
        <v>65</v>
      </c>
      <c r="B43" s="3">
        <v>46280</v>
      </c>
      <c r="C43" s="2" t="s">
        <v>21</v>
      </c>
      <c r="D43" s="2" t="s">
        <v>11</v>
      </c>
      <c r="E43" s="2" t="s">
        <v>28</v>
      </c>
      <c r="F43" s="2">
        <v>12</v>
      </c>
      <c r="G43">
        <f>_xlfn.XLOOKUP(E43, products!$A$2:$A$7, products!$C$2:$C$7)</f>
        <v>1000</v>
      </c>
      <c r="H43">
        <f t="shared" si="0"/>
        <v>12000</v>
      </c>
    </row>
    <row r="44" spans="1:8">
      <c r="A44" s="2" t="s">
        <v>66</v>
      </c>
      <c r="B44" s="3">
        <v>46281</v>
      </c>
      <c r="C44" s="2" t="s">
        <v>16</v>
      </c>
      <c r="D44" s="2" t="s">
        <v>17</v>
      </c>
      <c r="E44" s="2" t="s">
        <v>19</v>
      </c>
      <c r="F44" s="2">
        <v>11</v>
      </c>
      <c r="G44">
        <f>_xlfn.XLOOKUP(E44, products!$A$2:$A$7, products!$C$2:$C$7)</f>
        <v>700</v>
      </c>
      <c r="H44">
        <f t="shared" si="0"/>
        <v>7700</v>
      </c>
    </row>
    <row r="45" spans="1:8">
      <c r="A45" s="2" t="s">
        <v>67</v>
      </c>
      <c r="B45" s="3">
        <v>46281</v>
      </c>
      <c r="C45" s="2" t="s">
        <v>16</v>
      </c>
      <c r="D45" s="2" t="s">
        <v>22</v>
      </c>
      <c r="E45" s="2" t="s">
        <v>19</v>
      </c>
      <c r="F45" s="2">
        <v>2</v>
      </c>
      <c r="G45">
        <f>_xlfn.XLOOKUP(E45, products!$A$2:$A$7, products!$C$2:$C$7)</f>
        <v>700</v>
      </c>
      <c r="H45">
        <f t="shared" si="0"/>
        <v>1400</v>
      </c>
    </row>
    <row r="46" spans="1:8">
      <c r="A46" s="2" t="s">
        <v>68</v>
      </c>
      <c r="B46" s="3">
        <v>46281</v>
      </c>
      <c r="C46" s="2" t="s">
        <v>10</v>
      </c>
      <c r="D46" s="2" t="s">
        <v>22</v>
      </c>
      <c r="E46" s="2" t="s">
        <v>30</v>
      </c>
      <c r="F46" s="2">
        <v>5</v>
      </c>
      <c r="G46">
        <f>_xlfn.XLOOKUP(E46, products!$A$2:$A$7, products!$C$2:$C$7)</f>
        <v>3200</v>
      </c>
      <c r="H46">
        <f t="shared" si="0"/>
        <v>16000</v>
      </c>
    </row>
    <row r="47" spans="1:8">
      <c r="A47" s="2" t="s">
        <v>69</v>
      </c>
      <c r="B47" s="3">
        <v>46282</v>
      </c>
      <c r="C47" s="2" t="s">
        <v>16</v>
      </c>
      <c r="D47" s="2" t="s">
        <v>44</v>
      </c>
      <c r="E47" s="2" t="s">
        <v>33</v>
      </c>
      <c r="F47" s="2">
        <v>7</v>
      </c>
      <c r="G47">
        <f>_xlfn.XLOOKUP(E47, products!$A$2:$A$7, products!$C$2:$C$7)</f>
        <v>4500</v>
      </c>
      <c r="H47">
        <f t="shared" si="0"/>
        <v>31500</v>
      </c>
    </row>
    <row r="48" spans="1:8">
      <c r="A48" s="2" t="s">
        <v>70</v>
      </c>
      <c r="B48" s="3">
        <v>46282</v>
      </c>
      <c r="C48" s="2" t="s">
        <v>10</v>
      </c>
      <c r="D48" s="2" t="s">
        <v>22</v>
      </c>
      <c r="E48" s="2" t="s">
        <v>12</v>
      </c>
      <c r="F48" s="2">
        <v>7</v>
      </c>
      <c r="G48">
        <f>_xlfn.XLOOKUP(E48, products!$A$2:$A$7, products!$C$2:$C$7)</f>
        <v>400</v>
      </c>
      <c r="H48">
        <f t="shared" si="0"/>
        <v>2800</v>
      </c>
    </row>
    <row r="49" spans="1:8">
      <c r="A49" s="2" t="s">
        <v>71</v>
      </c>
      <c r="B49" s="3">
        <v>46282</v>
      </c>
      <c r="C49" s="2" t="s">
        <v>10</v>
      </c>
      <c r="D49" s="2" t="s">
        <v>44</v>
      </c>
      <c r="E49" s="2" t="s">
        <v>30</v>
      </c>
      <c r="F49" s="2">
        <v>1</v>
      </c>
      <c r="G49">
        <f>_xlfn.XLOOKUP(E49, products!$A$2:$A$7, products!$C$2:$C$7)</f>
        <v>3200</v>
      </c>
      <c r="H49">
        <f t="shared" si="0"/>
        <v>3200</v>
      </c>
    </row>
    <row r="50" spans="1:8">
      <c r="A50" s="2" t="s">
        <v>72</v>
      </c>
      <c r="B50" s="3">
        <v>46282</v>
      </c>
      <c r="C50" s="2" t="s">
        <v>14</v>
      </c>
      <c r="D50" s="2" t="s">
        <v>11</v>
      </c>
      <c r="E50" s="2" t="s">
        <v>28</v>
      </c>
      <c r="F50" s="2">
        <v>9</v>
      </c>
      <c r="G50">
        <f>_xlfn.XLOOKUP(E50, products!$A$2:$A$7, products!$C$2:$C$7)</f>
        <v>1000</v>
      </c>
      <c r="H50">
        <f t="shared" si="0"/>
        <v>9000</v>
      </c>
    </row>
    <row r="51" spans="1:8">
      <c r="A51" s="2" t="s">
        <v>73</v>
      </c>
      <c r="B51" s="3">
        <v>46283</v>
      </c>
      <c r="C51" s="2" t="s">
        <v>16</v>
      </c>
      <c r="D51" s="2" t="s">
        <v>22</v>
      </c>
      <c r="E51" s="2" t="s">
        <v>12</v>
      </c>
      <c r="F51" s="2">
        <v>8</v>
      </c>
      <c r="G51">
        <f>_xlfn.XLOOKUP(E51, products!$A$2:$A$7, products!$C$2:$C$7)</f>
        <v>400</v>
      </c>
      <c r="H51">
        <f t="shared" si="0"/>
        <v>3200</v>
      </c>
    </row>
    <row r="52" spans="1:8">
      <c r="A52" s="2" t="s">
        <v>74</v>
      </c>
      <c r="B52" s="3">
        <v>46283</v>
      </c>
      <c r="C52" s="2" t="s">
        <v>16</v>
      </c>
      <c r="D52" s="2" t="s">
        <v>44</v>
      </c>
      <c r="E52" s="2" t="s">
        <v>12</v>
      </c>
      <c r="F52" s="2">
        <v>11</v>
      </c>
      <c r="G52">
        <f>_xlfn.XLOOKUP(E52, products!$A$2:$A$7, products!$C$2:$C$7)</f>
        <v>400</v>
      </c>
      <c r="H52">
        <f t="shared" si="0"/>
        <v>4400</v>
      </c>
    </row>
    <row r="53" spans="1:8">
      <c r="A53" s="2" t="s">
        <v>75</v>
      </c>
      <c r="B53" s="3">
        <v>46283</v>
      </c>
      <c r="C53" s="2" t="s">
        <v>24</v>
      </c>
      <c r="D53" s="2" t="s">
        <v>11</v>
      </c>
      <c r="E53" s="2" t="s">
        <v>28</v>
      </c>
      <c r="F53" s="2">
        <v>11</v>
      </c>
      <c r="G53">
        <f>_xlfn.XLOOKUP(E53, products!$A$2:$A$7, products!$C$2:$C$7)</f>
        <v>1000</v>
      </c>
      <c r="H53">
        <f t="shared" si="0"/>
        <v>11000</v>
      </c>
    </row>
    <row r="54" spans="1:8">
      <c r="A54" s="2" t="s">
        <v>76</v>
      </c>
      <c r="B54" s="3">
        <v>46283</v>
      </c>
      <c r="C54" s="2" t="s">
        <v>24</v>
      </c>
      <c r="D54" s="2" t="s">
        <v>11</v>
      </c>
      <c r="E54" s="2" t="s">
        <v>19</v>
      </c>
      <c r="F54" s="2">
        <v>12</v>
      </c>
      <c r="G54">
        <f>_xlfn.XLOOKUP(E54, products!$A$2:$A$7, products!$C$2:$C$7)</f>
        <v>700</v>
      </c>
      <c r="H54">
        <f t="shared" si="0"/>
        <v>8400</v>
      </c>
    </row>
    <row r="55" spans="1:8">
      <c r="A55" s="2" t="s">
        <v>77</v>
      </c>
      <c r="B55" s="3">
        <v>46283</v>
      </c>
      <c r="C55" s="2" t="s">
        <v>21</v>
      </c>
      <c r="D55" s="2" t="s">
        <v>22</v>
      </c>
      <c r="E55" s="2" t="s">
        <v>19</v>
      </c>
      <c r="F55" s="2">
        <v>3</v>
      </c>
      <c r="G55">
        <f>_xlfn.XLOOKUP(E55, products!$A$2:$A$7, products!$C$2:$C$7)</f>
        <v>700</v>
      </c>
      <c r="H55">
        <f t="shared" si="0"/>
        <v>2100</v>
      </c>
    </row>
    <row r="56" spans="1:8">
      <c r="A56" s="2" t="s">
        <v>78</v>
      </c>
      <c r="B56" s="3">
        <v>46284</v>
      </c>
      <c r="C56" s="2" t="s">
        <v>14</v>
      </c>
      <c r="D56" s="2" t="s">
        <v>17</v>
      </c>
      <c r="E56" s="2" t="s">
        <v>33</v>
      </c>
      <c r="F56" s="2">
        <v>6</v>
      </c>
      <c r="G56">
        <f>_xlfn.XLOOKUP(E56, products!$A$2:$A$7, products!$C$2:$C$7)</f>
        <v>4500</v>
      </c>
      <c r="H56">
        <f t="shared" si="0"/>
        <v>27000</v>
      </c>
    </row>
    <row r="57" spans="1:8">
      <c r="A57" s="2" t="s">
        <v>79</v>
      </c>
      <c r="B57" s="3">
        <v>46284</v>
      </c>
      <c r="C57" s="2" t="s">
        <v>21</v>
      </c>
      <c r="D57" s="2" t="s">
        <v>22</v>
      </c>
      <c r="E57" s="2" t="s">
        <v>25</v>
      </c>
      <c r="F57" s="2">
        <v>11</v>
      </c>
      <c r="G57">
        <f>_xlfn.XLOOKUP(E57, products!$A$2:$A$7, products!$C$2:$C$7)</f>
        <v>1800</v>
      </c>
      <c r="H57">
        <f t="shared" si="0"/>
        <v>19800</v>
      </c>
    </row>
    <row r="58" spans="1:8">
      <c r="A58" s="2" t="s">
        <v>80</v>
      </c>
      <c r="B58" s="3">
        <v>46285</v>
      </c>
      <c r="C58" s="2" t="s">
        <v>16</v>
      </c>
      <c r="D58" s="2" t="s">
        <v>22</v>
      </c>
      <c r="E58" s="2" t="s">
        <v>30</v>
      </c>
      <c r="F58" s="2">
        <v>12</v>
      </c>
      <c r="G58">
        <f>_xlfn.XLOOKUP(E58, products!$A$2:$A$7, products!$C$2:$C$7)</f>
        <v>3200</v>
      </c>
      <c r="H58">
        <f t="shared" si="0"/>
        <v>38400</v>
      </c>
    </row>
    <row r="59" spans="1:8">
      <c r="A59" s="2" t="s">
        <v>81</v>
      </c>
      <c r="B59" s="3">
        <v>46285</v>
      </c>
      <c r="C59" s="2" t="s">
        <v>14</v>
      </c>
      <c r="D59" s="2" t="s">
        <v>22</v>
      </c>
      <c r="E59" s="2" t="s">
        <v>12</v>
      </c>
      <c r="F59" s="2">
        <v>2</v>
      </c>
      <c r="G59">
        <f>_xlfn.XLOOKUP(E59, products!$A$2:$A$7, products!$C$2:$C$7)</f>
        <v>400</v>
      </c>
      <c r="H59">
        <f t="shared" si="0"/>
        <v>800</v>
      </c>
    </row>
    <row r="60" spans="1:8">
      <c r="A60" s="2" t="s">
        <v>82</v>
      </c>
      <c r="B60" s="3">
        <v>46285</v>
      </c>
      <c r="C60" s="2" t="s">
        <v>14</v>
      </c>
      <c r="D60" s="2" t="s">
        <v>17</v>
      </c>
      <c r="E60" s="2" t="s">
        <v>19</v>
      </c>
      <c r="F60" s="2">
        <v>7</v>
      </c>
      <c r="G60">
        <f>_xlfn.XLOOKUP(E60, products!$A$2:$A$7, products!$C$2:$C$7)</f>
        <v>700</v>
      </c>
      <c r="H60">
        <f t="shared" si="0"/>
        <v>4900</v>
      </c>
    </row>
    <row r="61" spans="1:8">
      <c r="A61" s="2" t="s">
        <v>83</v>
      </c>
      <c r="B61" s="3">
        <v>46286</v>
      </c>
      <c r="C61" s="2" t="s">
        <v>16</v>
      </c>
      <c r="D61" s="2" t="s">
        <v>17</v>
      </c>
      <c r="E61" s="2" t="s">
        <v>25</v>
      </c>
      <c r="F61" s="2">
        <v>2</v>
      </c>
      <c r="G61">
        <f>_xlfn.XLOOKUP(E61, products!$A$2:$A$7, products!$C$2:$C$7)</f>
        <v>1800</v>
      </c>
      <c r="H61">
        <f t="shared" si="0"/>
        <v>3600</v>
      </c>
    </row>
    <row r="62" spans="1:8">
      <c r="A62" s="2" t="s">
        <v>84</v>
      </c>
      <c r="B62" s="3">
        <v>46287</v>
      </c>
      <c r="C62" s="2" t="s">
        <v>14</v>
      </c>
      <c r="D62" s="2" t="s">
        <v>44</v>
      </c>
      <c r="E62" s="2" t="s">
        <v>33</v>
      </c>
      <c r="F62" s="2">
        <v>2</v>
      </c>
      <c r="G62">
        <f>_xlfn.XLOOKUP(E62, products!$A$2:$A$7, products!$C$2:$C$7)</f>
        <v>4500</v>
      </c>
      <c r="H62">
        <f t="shared" si="0"/>
        <v>9000</v>
      </c>
    </row>
    <row r="63" spans="1:8">
      <c r="A63" s="2" t="s">
        <v>85</v>
      </c>
      <c r="B63" s="3">
        <v>46287</v>
      </c>
      <c r="C63" s="2" t="s">
        <v>14</v>
      </c>
      <c r="D63" s="2" t="s">
        <v>11</v>
      </c>
      <c r="E63" s="2" t="s">
        <v>33</v>
      </c>
      <c r="F63" s="2">
        <v>12</v>
      </c>
      <c r="G63">
        <f>_xlfn.XLOOKUP(E63, products!$A$2:$A$7, products!$C$2:$C$7)</f>
        <v>4500</v>
      </c>
      <c r="H63">
        <f t="shared" si="0"/>
        <v>54000</v>
      </c>
    </row>
    <row r="64" spans="1:8">
      <c r="A64" s="2" t="s">
        <v>86</v>
      </c>
      <c r="B64" s="3">
        <v>46288</v>
      </c>
      <c r="C64" s="2" t="s">
        <v>16</v>
      </c>
      <c r="D64" s="2" t="s">
        <v>44</v>
      </c>
      <c r="E64" s="2" t="s">
        <v>33</v>
      </c>
      <c r="F64" s="2">
        <v>8</v>
      </c>
      <c r="G64">
        <f>_xlfn.XLOOKUP(E64, products!$A$2:$A$7, products!$C$2:$C$7)</f>
        <v>4500</v>
      </c>
      <c r="H64">
        <f t="shared" si="0"/>
        <v>36000</v>
      </c>
    </row>
    <row r="65" spans="1:8">
      <c r="A65" s="2" t="s">
        <v>87</v>
      </c>
      <c r="B65" s="3">
        <v>46288</v>
      </c>
      <c r="C65" s="2" t="s">
        <v>16</v>
      </c>
      <c r="D65" s="2" t="s">
        <v>11</v>
      </c>
      <c r="E65" s="2" t="s">
        <v>28</v>
      </c>
      <c r="F65" s="2">
        <v>8</v>
      </c>
      <c r="G65">
        <f>_xlfn.XLOOKUP(E65, products!$A$2:$A$7, products!$C$2:$C$7)</f>
        <v>1000</v>
      </c>
      <c r="H65">
        <f t="shared" si="0"/>
        <v>8000</v>
      </c>
    </row>
    <row r="66" spans="1:8">
      <c r="A66" s="2" t="s">
        <v>88</v>
      </c>
      <c r="B66" s="3">
        <v>46289</v>
      </c>
      <c r="C66" s="2" t="s">
        <v>14</v>
      </c>
      <c r="D66" s="2" t="s">
        <v>44</v>
      </c>
      <c r="E66" s="2" t="s">
        <v>25</v>
      </c>
      <c r="F66" s="2">
        <v>10</v>
      </c>
      <c r="G66">
        <f>_xlfn.XLOOKUP(E66, products!$A$2:$A$7, products!$C$2:$C$7)</f>
        <v>1800</v>
      </c>
      <c r="H66">
        <f t="shared" si="0"/>
        <v>18000</v>
      </c>
    </row>
    <row r="67" spans="1:8">
      <c r="A67" s="2" t="s">
        <v>89</v>
      </c>
      <c r="B67" s="3">
        <v>46289</v>
      </c>
      <c r="C67" s="2" t="s">
        <v>14</v>
      </c>
      <c r="D67" s="2" t="s">
        <v>17</v>
      </c>
      <c r="E67" s="2" t="s">
        <v>19</v>
      </c>
      <c r="F67" s="2">
        <v>10</v>
      </c>
      <c r="G67">
        <f>_xlfn.XLOOKUP(E67, products!$A$2:$A$7, products!$C$2:$C$7)</f>
        <v>700</v>
      </c>
      <c r="H67">
        <f t="shared" ref="H67:H130" si="1">F67*G67</f>
        <v>7000</v>
      </c>
    </row>
    <row r="68" spans="1:8">
      <c r="A68" s="2" t="s">
        <v>90</v>
      </c>
      <c r="B68" s="3">
        <v>46289</v>
      </c>
      <c r="C68" s="2" t="s">
        <v>14</v>
      </c>
      <c r="D68" s="2" t="s">
        <v>44</v>
      </c>
      <c r="E68" s="2" t="s">
        <v>25</v>
      </c>
      <c r="F68" s="2">
        <v>10</v>
      </c>
      <c r="G68">
        <f>_xlfn.XLOOKUP(E68, products!$A$2:$A$7, products!$C$2:$C$7)</f>
        <v>1800</v>
      </c>
      <c r="H68">
        <f t="shared" si="1"/>
        <v>18000</v>
      </c>
    </row>
    <row r="69" spans="1:8">
      <c r="A69" s="2" t="s">
        <v>91</v>
      </c>
      <c r="B69" s="3">
        <v>46289</v>
      </c>
      <c r="C69" s="2" t="s">
        <v>24</v>
      </c>
      <c r="D69" s="2" t="s">
        <v>11</v>
      </c>
      <c r="E69" s="2" t="s">
        <v>12</v>
      </c>
      <c r="F69" s="2">
        <v>11</v>
      </c>
      <c r="G69">
        <f>_xlfn.XLOOKUP(E69, products!$A$2:$A$7, products!$C$2:$C$7)</f>
        <v>400</v>
      </c>
      <c r="H69">
        <f t="shared" si="1"/>
        <v>4400</v>
      </c>
    </row>
    <row r="70" spans="1:8">
      <c r="A70" s="2" t="s">
        <v>92</v>
      </c>
      <c r="B70" s="3">
        <v>46290</v>
      </c>
      <c r="C70" s="2" t="s">
        <v>21</v>
      </c>
      <c r="D70" s="2" t="s">
        <v>22</v>
      </c>
      <c r="E70" s="2" t="s">
        <v>19</v>
      </c>
      <c r="F70" s="2">
        <v>1</v>
      </c>
      <c r="G70">
        <f>_xlfn.XLOOKUP(E70, products!$A$2:$A$7, products!$C$2:$C$7)</f>
        <v>700</v>
      </c>
      <c r="H70">
        <f t="shared" si="1"/>
        <v>700</v>
      </c>
    </row>
    <row r="71" spans="1:8">
      <c r="A71" s="2" t="s">
        <v>93</v>
      </c>
      <c r="B71" s="3">
        <v>46290</v>
      </c>
      <c r="C71" s="2" t="s">
        <v>10</v>
      </c>
      <c r="D71" s="2" t="s">
        <v>22</v>
      </c>
      <c r="E71" s="2" t="s">
        <v>30</v>
      </c>
      <c r="F71" s="2">
        <v>2</v>
      </c>
      <c r="G71">
        <f>_xlfn.XLOOKUP(E71, products!$A$2:$A$7, products!$C$2:$C$7)</f>
        <v>3200</v>
      </c>
      <c r="H71">
        <f t="shared" si="1"/>
        <v>6400</v>
      </c>
    </row>
    <row r="72" spans="1:8">
      <c r="A72" s="2" t="s">
        <v>94</v>
      </c>
      <c r="B72" s="3">
        <v>46290</v>
      </c>
      <c r="C72" s="2" t="s">
        <v>24</v>
      </c>
      <c r="D72" s="2" t="s">
        <v>17</v>
      </c>
      <c r="E72" s="2" t="s">
        <v>28</v>
      </c>
      <c r="F72" s="2">
        <v>3</v>
      </c>
      <c r="G72">
        <f>_xlfn.XLOOKUP(E72, products!$A$2:$A$7, products!$C$2:$C$7)</f>
        <v>1000</v>
      </c>
      <c r="H72">
        <f t="shared" si="1"/>
        <v>3000</v>
      </c>
    </row>
    <row r="73" spans="1:8">
      <c r="A73" s="2" t="s">
        <v>95</v>
      </c>
      <c r="B73" s="3">
        <v>46290</v>
      </c>
      <c r="C73" s="2" t="s">
        <v>10</v>
      </c>
      <c r="D73" s="2" t="s">
        <v>17</v>
      </c>
      <c r="E73" s="2" t="s">
        <v>12</v>
      </c>
      <c r="F73" s="2">
        <v>9</v>
      </c>
      <c r="G73">
        <f>_xlfn.XLOOKUP(E73, products!$A$2:$A$7, products!$C$2:$C$7)</f>
        <v>400</v>
      </c>
      <c r="H73">
        <f t="shared" si="1"/>
        <v>3600</v>
      </c>
    </row>
    <row r="74" spans="1:8">
      <c r="A74" s="2" t="s">
        <v>96</v>
      </c>
      <c r="B74" s="3">
        <v>46290</v>
      </c>
      <c r="C74" s="2" t="s">
        <v>21</v>
      </c>
      <c r="D74" s="2" t="s">
        <v>11</v>
      </c>
      <c r="E74" s="2" t="s">
        <v>19</v>
      </c>
      <c r="F74" s="2">
        <v>7</v>
      </c>
      <c r="G74">
        <f>_xlfn.XLOOKUP(E74, products!$A$2:$A$7, products!$C$2:$C$7)</f>
        <v>700</v>
      </c>
      <c r="H74">
        <f t="shared" si="1"/>
        <v>4900</v>
      </c>
    </row>
    <row r="75" spans="1:8">
      <c r="A75" s="2" t="s">
        <v>97</v>
      </c>
      <c r="B75" s="3">
        <v>46291</v>
      </c>
      <c r="C75" s="2" t="s">
        <v>10</v>
      </c>
      <c r="D75" s="2" t="s">
        <v>17</v>
      </c>
      <c r="E75" s="2" t="s">
        <v>33</v>
      </c>
      <c r="F75" s="2">
        <v>5</v>
      </c>
      <c r="G75">
        <f>_xlfn.XLOOKUP(E75, products!$A$2:$A$7, products!$C$2:$C$7)</f>
        <v>4500</v>
      </c>
      <c r="H75">
        <f t="shared" si="1"/>
        <v>22500</v>
      </c>
    </row>
    <row r="76" spans="1:8">
      <c r="A76" s="2" t="s">
        <v>98</v>
      </c>
      <c r="B76" s="3">
        <v>46292</v>
      </c>
      <c r="C76" s="2" t="s">
        <v>10</v>
      </c>
      <c r="D76" s="2" t="s">
        <v>22</v>
      </c>
      <c r="E76" s="2" t="s">
        <v>12</v>
      </c>
      <c r="F76" s="2">
        <v>7</v>
      </c>
      <c r="G76">
        <f>_xlfn.XLOOKUP(E76, products!$A$2:$A$7, products!$C$2:$C$7)</f>
        <v>400</v>
      </c>
      <c r="H76">
        <f t="shared" si="1"/>
        <v>2800</v>
      </c>
    </row>
    <row r="77" spans="1:8">
      <c r="A77" s="2" t="s">
        <v>99</v>
      </c>
      <c r="B77" s="3">
        <v>46292</v>
      </c>
      <c r="C77" s="2" t="s">
        <v>10</v>
      </c>
      <c r="D77" s="2" t="s">
        <v>11</v>
      </c>
      <c r="E77" s="2" t="s">
        <v>25</v>
      </c>
      <c r="F77" s="2">
        <v>8</v>
      </c>
      <c r="G77">
        <f>_xlfn.XLOOKUP(E77, products!$A$2:$A$7, products!$C$2:$C$7)</f>
        <v>1800</v>
      </c>
      <c r="H77">
        <f t="shared" si="1"/>
        <v>14400</v>
      </c>
    </row>
    <row r="78" spans="1:8">
      <c r="A78" s="2" t="s">
        <v>100</v>
      </c>
      <c r="B78" s="3">
        <v>46292</v>
      </c>
      <c r="C78" s="2" t="s">
        <v>14</v>
      </c>
      <c r="D78" s="2" t="s">
        <v>44</v>
      </c>
      <c r="E78" s="2" t="s">
        <v>30</v>
      </c>
      <c r="F78" s="2">
        <v>5</v>
      </c>
      <c r="G78">
        <f>_xlfn.XLOOKUP(E78, products!$A$2:$A$7, products!$C$2:$C$7)</f>
        <v>3200</v>
      </c>
      <c r="H78">
        <f t="shared" si="1"/>
        <v>16000</v>
      </c>
    </row>
    <row r="79" spans="1:8">
      <c r="A79" s="2" t="s">
        <v>101</v>
      </c>
      <c r="B79" s="3">
        <v>46293</v>
      </c>
      <c r="C79" s="2" t="s">
        <v>10</v>
      </c>
      <c r="D79" s="2" t="s">
        <v>11</v>
      </c>
      <c r="E79" s="2" t="s">
        <v>25</v>
      </c>
      <c r="F79" s="2">
        <v>1</v>
      </c>
      <c r="G79">
        <f>_xlfn.XLOOKUP(E79, products!$A$2:$A$7, products!$C$2:$C$7)</f>
        <v>1800</v>
      </c>
      <c r="H79">
        <f t="shared" si="1"/>
        <v>1800</v>
      </c>
    </row>
    <row r="80" spans="1:8">
      <c r="A80" s="2" t="s">
        <v>102</v>
      </c>
      <c r="B80" s="3">
        <v>46294</v>
      </c>
      <c r="C80" s="2" t="s">
        <v>24</v>
      </c>
      <c r="D80" s="2" t="s">
        <v>44</v>
      </c>
      <c r="E80" s="2" t="s">
        <v>12</v>
      </c>
      <c r="F80" s="2">
        <v>9</v>
      </c>
      <c r="G80">
        <f>_xlfn.XLOOKUP(E80, products!$A$2:$A$7, products!$C$2:$C$7)</f>
        <v>400</v>
      </c>
      <c r="H80">
        <f t="shared" si="1"/>
        <v>3600</v>
      </c>
    </row>
    <row r="81" spans="1:8">
      <c r="A81" s="2" t="s">
        <v>103</v>
      </c>
      <c r="B81" s="3">
        <v>46294</v>
      </c>
      <c r="C81" s="2" t="s">
        <v>24</v>
      </c>
      <c r="D81" s="2" t="s">
        <v>17</v>
      </c>
      <c r="E81" s="2" t="s">
        <v>30</v>
      </c>
      <c r="F81" s="2">
        <v>4</v>
      </c>
      <c r="G81">
        <f>_xlfn.XLOOKUP(E81, products!$A$2:$A$7, products!$C$2:$C$7)</f>
        <v>3200</v>
      </c>
      <c r="H81">
        <f t="shared" si="1"/>
        <v>12800</v>
      </c>
    </row>
    <row r="82" spans="1:8">
      <c r="A82" s="2" t="s">
        <v>104</v>
      </c>
      <c r="B82" s="3">
        <v>46294</v>
      </c>
      <c r="C82" s="2" t="s">
        <v>16</v>
      </c>
      <c r="D82" s="2" t="s">
        <v>22</v>
      </c>
      <c r="E82" s="2" t="s">
        <v>33</v>
      </c>
      <c r="F82" s="2">
        <v>3</v>
      </c>
      <c r="G82">
        <f>_xlfn.XLOOKUP(E82, products!$A$2:$A$7, products!$C$2:$C$7)</f>
        <v>4500</v>
      </c>
      <c r="H82">
        <f t="shared" si="1"/>
        <v>13500</v>
      </c>
    </row>
    <row r="83" spans="1:8">
      <c r="A83" s="2" t="s">
        <v>105</v>
      </c>
      <c r="B83" s="3">
        <v>46294</v>
      </c>
      <c r="C83" s="2" t="s">
        <v>10</v>
      </c>
      <c r="D83" s="2" t="s">
        <v>17</v>
      </c>
      <c r="E83" s="2" t="s">
        <v>28</v>
      </c>
      <c r="F83" s="2">
        <v>7</v>
      </c>
      <c r="G83">
        <f>_xlfn.XLOOKUP(E83, products!$A$2:$A$7, products!$C$2:$C$7)</f>
        <v>1000</v>
      </c>
      <c r="H83">
        <f t="shared" si="1"/>
        <v>7000</v>
      </c>
    </row>
    <row r="84" spans="1:8">
      <c r="A84" s="2" t="s">
        <v>106</v>
      </c>
      <c r="B84" s="3">
        <v>46294</v>
      </c>
      <c r="C84" s="2" t="s">
        <v>14</v>
      </c>
      <c r="D84" s="2" t="s">
        <v>22</v>
      </c>
      <c r="E84" s="2" t="s">
        <v>33</v>
      </c>
      <c r="F84" s="2">
        <v>5</v>
      </c>
      <c r="G84">
        <f>_xlfn.XLOOKUP(E84, products!$A$2:$A$7, products!$C$2:$C$7)</f>
        <v>4500</v>
      </c>
      <c r="H84">
        <f t="shared" si="1"/>
        <v>22500</v>
      </c>
    </row>
    <row r="85" spans="1:8">
      <c r="A85" s="2" t="s">
        <v>107</v>
      </c>
      <c r="B85" s="3">
        <v>46294</v>
      </c>
      <c r="C85" s="2" t="s">
        <v>21</v>
      </c>
      <c r="D85" s="2" t="s">
        <v>11</v>
      </c>
      <c r="E85" s="2" t="s">
        <v>33</v>
      </c>
      <c r="F85" s="2">
        <v>11</v>
      </c>
      <c r="G85">
        <f>_xlfn.XLOOKUP(E85, products!$A$2:$A$7, products!$C$2:$C$7)</f>
        <v>4500</v>
      </c>
      <c r="H85">
        <f t="shared" si="1"/>
        <v>49500</v>
      </c>
    </row>
    <row r="86" spans="1:8">
      <c r="A86" s="2" t="s">
        <v>108</v>
      </c>
      <c r="B86" s="3">
        <v>46295</v>
      </c>
      <c r="C86" s="2" t="s">
        <v>10</v>
      </c>
      <c r="D86" s="2" t="s">
        <v>17</v>
      </c>
      <c r="E86" s="2" t="s">
        <v>19</v>
      </c>
      <c r="F86" s="2">
        <v>9</v>
      </c>
      <c r="G86">
        <f>_xlfn.XLOOKUP(E86, products!$A$2:$A$7, products!$C$2:$C$7)</f>
        <v>700</v>
      </c>
      <c r="H86">
        <f t="shared" si="1"/>
        <v>6300</v>
      </c>
    </row>
    <row r="87" spans="1:8">
      <c r="A87" s="2" t="s">
        <v>109</v>
      </c>
      <c r="B87" s="3">
        <v>46295</v>
      </c>
      <c r="C87" s="2" t="s">
        <v>21</v>
      </c>
      <c r="D87" s="2" t="s">
        <v>22</v>
      </c>
      <c r="E87" s="2" t="s">
        <v>28</v>
      </c>
      <c r="F87" s="2">
        <v>7</v>
      </c>
      <c r="G87">
        <f>_xlfn.XLOOKUP(E87, products!$A$2:$A$7, products!$C$2:$C$7)</f>
        <v>1000</v>
      </c>
      <c r="H87">
        <f t="shared" si="1"/>
        <v>7000</v>
      </c>
    </row>
    <row r="88" spans="1:8">
      <c r="A88" s="2" t="s">
        <v>110</v>
      </c>
      <c r="B88" s="3">
        <v>46295</v>
      </c>
      <c r="C88" s="2" t="s">
        <v>10</v>
      </c>
      <c r="D88" s="2" t="s">
        <v>11</v>
      </c>
      <c r="E88" s="2" t="s">
        <v>12</v>
      </c>
      <c r="F88" s="2">
        <v>4</v>
      </c>
      <c r="G88">
        <f>_xlfn.XLOOKUP(E88, products!$A$2:$A$7, products!$C$2:$C$7)</f>
        <v>400</v>
      </c>
      <c r="H88">
        <f t="shared" si="1"/>
        <v>1600</v>
      </c>
    </row>
    <row r="89" spans="1:8">
      <c r="A89" s="2" t="s">
        <v>111</v>
      </c>
      <c r="B89" s="3">
        <v>46295</v>
      </c>
      <c r="C89" s="2" t="s">
        <v>21</v>
      </c>
      <c r="D89" s="2" t="s">
        <v>17</v>
      </c>
      <c r="E89" s="2" t="s">
        <v>33</v>
      </c>
      <c r="F89" s="2">
        <v>6</v>
      </c>
      <c r="G89">
        <f>_xlfn.XLOOKUP(E89, products!$A$2:$A$7, products!$C$2:$C$7)</f>
        <v>4500</v>
      </c>
      <c r="H89">
        <f t="shared" si="1"/>
        <v>27000</v>
      </c>
    </row>
    <row r="90" spans="1:8">
      <c r="A90" s="2" t="s">
        <v>112</v>
      </c>
      <c r="B90" s="3">
        <v>46296</v>
      </c>
      <c r="C90" s="2" t="s">
        <v>24</v>
      </c>
      <c r="D90" s="2" t="s">
        <v>17</v>
      </c>
      <c r="E90" s="2" t="s">
        <v>33</v>
      </c>
      <c r="F90" s="2">
        <v>8</v>
      </c>
      <c r="G90">
        <f>_xlfn.XLOOKUP(E90, products!$A$2:$A$7, products!$C$2:$C$7)</f>
        <v>4500</v>
      </c>
      <c r="H90">
        <f t="shared" si="1"/>
        <v>36000</v>
      </c>
    </row>
    <row r="91" spans="1:8">
      <c r="A91" s="2" t="s">
        <v>113</v>
      </c>
      <c r="B91" s="3">
        <v>46296</v>
      </c>
      <c r="C91" s="2" t="s">
        <v>24</v>
      </c>
      <c r="D91" s="2" t="s">
        <v>17</v>
      </c>
      <c r="E91" s="2" t="s">
        <v>12</v>
      </c>
      <c r="F91" s="2">
        <v>3</v>
      </c>
      <c r="G91">
        <f>_xlfn.XLOOKUP(E91, products!$A$2:$A$7, products!$C$2:$C$7)</f>
        <v>400</v>
      </c>
      <c r="H91">
        <f t="shared" si="1"/>
        <v>1200</v>
      </c>
    </row>
    <row r="92" spans="1:8">
      <c r="A92" s="2" t="s">
        <v>114</v>
      </c>
      <c r="B92" s="3">
        <v>46296</v>
      </c>
      <c r="C92" s="2" t="s">
        <v>21</v>
      </c>
      <c r="D92" s="2" t="s">
        <v>22</v>
      </c>
      <c r="E92" s="2" t="s">
        <v>28</v>
      </c>
      <c r="F92" s="2">
        <v>11</v>
      </c>
      <c r="G92">
        <f>_xlfn.XLOOKUP(E92, products!$A$2:$A$7, products!$C$2:$C$7)</f>
        <v>1000</v>
      </c>
      <c r="H92">
        <f t="shared" si="1"/>
        <v>11000</v>
      </c>
    </row>
    <row r="93" spans="1:8">
      <c r="A93" s="2" t="s">
        <v>115</v>
      </c>
      <c r="B93" s="3">
        <v>46297</v>
      </c>
      <c r="C93" s="2" t="s">
        <v>14</v>
      </c>
      <c r="D93" s="2" t="s">
        <v>17</v>
      </c>
      <c r="E93" s="2" t="s">
        <v>19</v>
      </c>
      <c r="F93" s="2">
        <v>2</v>
      </c>
      <c r="G93">
        <f>_xlfn.XLOOKUP(E93, products!$A$2:$A$7, products!$C$2:$C$7)</f>
        <v>700</v>
      </c>
      <c r="H93">
        <f t="shared" si="1"/>
        <v>1400</v>
      </c>
    </row>
    <row r="94" spans="1:8">
      <c r="A94" s="2" t="s">
        <v>116</v>
      </c>
      <c r="B94" s="3">
        <v>46297</v>
      </c>
      <c r="C94" s="2" t="s">
        <v>14</v>
      </c>
      <c r="D94" s="2" t="s">
        <v>22</v>
      </c>
      <c r="E94" s="2" t="s">
        <v>19</v>
      </c>
      <c r="F94" s="2">
        <v>2</v>
      </c>
      <c r="G94">
        <f>_xlfn.XLOOKUP(E94, products!$A$2:$A$7, products!$C$2:$C$7)</f>
        <v>700</v>
      </c>
      <c r="H94">
        <f t="shared" si="1"/>
        <v>1400</v>
      </c>
    </row>
    <row r="95" spans="1:8">
      <c r="A95" s="2" t="s">
        <v>117</v>
      </c>
      <c r="B95" s="3">
        <v>46297</v>
      </c>
      <c r="C95" s="2" t="s">
        <v>16</v>
      </c>
      <c r="D95" s="2" t="s">
        <v>11</v>
      </c>
      <c r="E95" s="2" t="s">
        <v>12</v>
      </c>
      <c r="F95" s="2">
        <v>8</v>
      </c>
      <c r="G95">
        <f>_xlfn.XLOOKUP(E95, products!$A$2:$A$7, products!$C$2:$C$7)</f>
        <v>400</v>
      </c>
      <c r="H95">
        <f t="shared" si="1"/>
        <v>3200</v>
      </c>
    </row>
    <row r="96" spans="1:8">
      <c r="A96" s="2" t="s">
        <v>118</v>
      </c>
      <c r="B96" s="3">
        <v>46297</v>
      </c>
      <c r="C96" s="2" t="s">
        <v>16</v>
      </c>
      <c r="D96" s="2" t="s">
        <v>22</v>
      </c>
      <c r="E96" s="2" t="s">
        <v>12</v>
      </c>
      <c r="F96" s="2">
        <v>10</v>
      </c>
      <c r="G96">
        <f>_xlfn.XLOOKUP(E96, products!$A$2:$A$7, products!$C$2:$C$7)</f>
        <v>400</v>
      </c>
      <c r="H96">
        <f t="shared" si="1"/>
        <v>4000</v>
      </c>
    </row>
    <row r="97" spans="1:8">
      <c r="A97" s="2" t="s">
        <v>119</v>
      </c>
      <c r="B97" s="3">
        <v>46298</v>
      </c>
      <c r="C97" s="2" t="s">
        <v>14</v>
      </c>
      <c r="D97" s="2" t="s">
        <v>22</v>
      </c>
      <c r="E97" s="2" t="s">
        <v>33</v>
      </c>
      <c r="F97" s="2">
        <v>10</v>
      </c>
      <c r="G97">
        <f>_xlfn.XLOOKUP(E97, products!$A$2:$A$7, products!$C$2:$C$7)</f>
        <v>4500</v>
      </c>
      <c r="H97">
        <f t="shared" si="1"/>
        <v>45000</v>
      </c>
    </row>
    <row r="98" spans="1:8">
      <c r="A98" s="2" t="s">
        <v>120</v>
      </c>
      <c r="B98" s="3">
        <v>46298</v>
      </c>
      <c r="C98" s="2" t="s">
        <v>14</v>
      </c>
      <c r="D98" s="2" t="s">
        <v>17</v>
      </c>
      <c r="E98" s="2" t="s">
        <v>33</v>
      </c>
      <c r="F98" s="2">
        <v>8</v>
      </c>
      <c r="G98">
        <f>_xlfn.XLOOKUP(E98, products!$A$2:$A$7, products!$C$2:$C$7)</f>
        <v>4500</v>
      </c>
      <c r="H98">
        <f t="shared" si="1"/>
        <v>36000</v>
      </c>
    </row>
    <row r="99" spans="1:8">
      <c r="A99" s="2" t="s">
        <v>121</v>
      </c>
      <c r="B99" s="3">
        <v>46298</v>
      </c>
      <c r="C99" s="2" t="s">
        <v>24</v>
      </c>
      <c r="D99" s="2" t="s">
        <v>44</v>
      </c>
      <c r="E99" s="2" t="s">
        <v>25</v>
      </c>
      <c r="F99" s="2">
        <v>4</v>
      </c>
      <c r="G99">
        <f>_xlfn.XLOOKUP(E99, products!$A$2:$A$7, products!$C$2:$C$7)</f>
        <v>1800</v>
      </c>
      <c r="H99">
        <f t="shared" si="1"/>
        <v>7200</v>
      </c>
    </row>
    <row r="100" spans="1:8">
      <c r="A100" s="2" t="s">
        <v>122</v>
      </c>
      <c r="B100" s="3">
        <v>46299</v>
      </c>
      <c r="C100" s="2" t="s">
        <v>10</v>
      </c>
      <c r="D100" s="2" t="s">
        <v>11</v>
      </c>
      <c r="E100" s="2" t="s">
        <v>19</v>
      </c>
      <c r="F100" s="2">
        <v>10</v>
      </c>
      <c r="G100">
        <f>_xlfn.XLOOKUP(E100, products!$A$2:$A$7, products!$C$2:$C$7)</f>
        <v>700</v>
      </c>
      <c r="H100">
        <f t="shared" si="1"/>
        <v>7000</v>
      </c>
    </row>
    <row r="101" spans="1:8">
      <c r="A101" s="2" t="s">
        <v>123</v>
      </c>
      <c r="B101" s="3">
        <v>46299</v>
      </c>
      <c r="C101" s="2" t="s">
        <v>24</v>
      </c>
      <c r="D101" s="2" t="s">
        <v>44</v>
      </c>
      <c r="E101" s="2" t="s">
        <v>12</v>
      </c>
      <c r="F101" s="2">
        <v>10</v>
      </c>
      <c r="G101">
        <f>_xlfn.XLOOKUP(E101, products!$A$2:$A$7, products!$C$2:$C$7)</f>
        <v>400</v>
      </c>
      <c r="H101">
        <f t="shared" si="1"/>
        <v>4000</v>
      </c>
    </row>
    <row r="102" spans="1:8">
      <c r="A102" s="2" t="s">
        <v>124</v>
      </c>
      <c r="B102" s="3">
        <v>46299</v>
      </c>
      <c r="C102" s="2" t="s">
        <v>10</v>
      </c>
      <c r="D102" s="2" t="s">
        <v>22</v>
      </c>
      <c r="E102" s="2" t="s">
        <v>12</v>
      </c>
      <c r="F102" s="2">
        <v>2</v>
      </c>
      <c r="G102">
        <f>_xlfn.XLOOKUP(E102, products!$A$2:$A$7, products!$C$2:$C$7)</f>
        <v>400</v>
      </c>
      <c r="H102">
        <f t="shared" si="1"/>
        <v>800</v>
      </c>
    </row>
    <row r="103" spans="1:8">
      <c r="A103" s="2" t="s">
        <v>125</v>
      </c>
      <c r="B103" s="3">
        <v>46299</v>
      </c>
      <c r="C103" s="2" t="s">
        <v>14</v>
      </c>
      <c r="D103" s="2" t="s">
        <v>22</v>
      </c>
      <c r="E103" s="2" t="s">
        <v>25</v>
      </c>
      <c r="F103" s="2">
        <v>7</v>
      </c>
      <c r="G103">
        <f>_xlfn.XLOOKUP(E103, products!$A$2:$A$7, products!$C$2:$C$7)</f>
        <v>1800</v>
      </c>
      <c r="H103">
        <f t="shared" si="1"/>
        <v>12600</v>
      </c>
    </row>
    <row r="104" spans="1:8">
      <c r="A104" s="2" t="s">
        <v>126</v>
      </c>
      <c r="B104" s="3">
        <v>46299</v>
      </c>
      <c r="C104" s="2" t="s">
        <v>21</v>
      </c>
      <c r="D104" s="2" t="s">
        <v>44</v>
      </c>
      <c r="E104" s="2" t="s">
        <v>25</v>
      </c>
      <c r="F104" s="2">
        <v>4</v>
      </c>
      <c r="G104">
        <f>_xlfn.XLOOKUP(E104, products!$A$2:$A$7, products!$C$2:$C$7)</f>
        <v>1800</v>
      </c>
      <c r="H104">
        <f t="shared" si="1"/>
        <v>7200</v>
      </c>
    </row>
    <row r="105" spans="1:8">
      <c r="A105" s="2" t="s">
        <v>127</v>
      </c>
      <c r="B105" s="3">
        <v>46299</v>
      </c>
      <c r="C105" s="2" t="s">
        <v>16</v>
      </c>
      <c r="D105" s="2" t="s">
        <v>22</v>
      </c>
      <c r="E105" s="2" t="s">
        <v>28</v>
      </c>
      <c r="F105" s="2">
        <v>8</v>
      </c>
      <c r="G105">
        <f>_xlfn.XLOOKUP(E105, products!$A$2:$A$7, products!$C$2:$C$7)</f>
        <v>1000</v>
      </c>
      <c r="H105">
        <f t="shared" si="1"/>
        <v>8000</v>
      </c>
    </row>
    <row r="106" spans="1:8">
      <c r="A106" s="2" t="s">
        <v>128</v>
      </c>
      <c r="B106" s="3">
        <v>46299</v>
      </c>
      <c r="C106" s="2" t="s">
        <v>16</v>
      </c>
      <c r="D106" s="2" t="s">
        <v>11</v>
      </c>
      <c r="E106" s="2" t="s">
        <v>19</v>
      </c>
      <c r="F106" s="2">
        <v>3</v>
      </c>
      <c r="G106">
        <f>_xlfn.XLOOKUP(E106, products!$A$2:$A$7, products!$C$2:$C$7)</f>
        <v>700</v>
      </c>
      <c r="H106">
        <f t="shared" si="1"/>
        <v>2100</v>
      </c>
    </row>
    <row r="107" spans="1:8">
      <c r="A107" s="2" t="s">
        <v>129</v>
      </c>
      <c r="B107" s="3">
        <v>46300</v>
      </c>
      <c r="C107" s="2" t="s">
        <v>24</v>
      </c>
      <c r="D107" s="2" t="s">
        <v>17</v>
      </c>
      <c r="E107" s="2" t="s">
        <v>12</v>
      </c>
      <c r="F107" s="2">
        <v>12</v>
      </c>
      <c r="G107">
        <f>_xlfn.XLOOKUP(E107, products!$A$2:$A$7, products!$C$2:$C$7)</f>
        <v>400</v>
      </c>
      <c r="H107">
        <f t="shared" si="1"/>
        <v>4800</v>
      </c>
    </row>
    <row r="108" spans="1:8">
      <c r="A108" s="2" t="s">
        <v>130</v>
      </c>
      <c r="B108" s="3">
        <v>46300</v>
      </c>
      <c r="C108" s="2" t="s">
        <v>14</v>
      </c>
      <c r="D108" s="2" t="s">
        <v>17</v>
      </c>
      <c r="E108" s="2" t="s">
        <v>12</v>
      </c>
      <c r="F108" s="2">
        <v>3</v>
      </c>
      <c r="G108">
        <f>_xlfn.XLOOKUP(E108, products!$A$2:$A$7, products!$C$2:$C$7)</f>
        <v>400</v>
      </c>
      <c r="H108">
        <f t="shared" si="1"/>
        <v>1200</v>
      </c>
    </row>
    <row r="109" spans="1:8">
      <c r="A109" s="2" t="s">
        <v>131</v>
      </c>
      <c r="B109" s="3">
        <v>46300</v>
      </c>
      <c r="C109" s="2" t="s">
        <v>24</v>
      </c>
      <c r="D109" s="2" t="s">
        <v>11</v>
      </c>
      <c r="E109" s="2" t="s">
        <v>30</v>
      </c>
      <c r="F109" s="2">
        <v>8</v>
      </c>
      <c r="G109">
        <f>_xlfn.XLOOKUP(E109, products!$A$2:$A$7, products!$C$2:$C$7)</f>
        <v>3200</v>
      </c>
      <c r="H109">
        <f t="shared" si="1"/>
        <v>25600</v>
      </c>
    </row>
    <row r="110" spans="1:8">
      <c r="A110" s="2" t="s">
        <v>132</v>
      </c>
      <c r="B110" s="3">
        <v>46300</v>
      </c>
      <c r="C110" s="2" t="s">
        <v>16</v>
      </c>
      <c r="D110" s="2" t="s">
        <v>17</v>
      </c>
      <c r="E110" s="2" t="s">
        <v>12</v>
      </c>
      <c r="F110" s="2">
        <v>11</v>
      </c>
      <c r="G110">
        <f>_xlfn.XLOOKUP(E110, products!$A$2:$A$7, products!$C$2:$C$7)</f>
        <v>400</v>
      </c>
      <c r="H110">
        <f t="shared" si="1"/>
        <v>4400</v>
      </c>
    </row>
    <row r="111" spans="1:8">
      <c r="A111" s="2" t="s">
        <v>133</v>
      </c>
      <c r="B111" s="3">
        <v>46300</v>
      </c>
      <c r="C111" s="2" t="s">
        <v>14</v>
      </c>
      <c r="D111" s="2" t="s">
        <v>44</v>
      </c>
      <c r="E111" s="2" t="s">
        <v>25</v>
      </c>
      <c r="F111" s="2">
        <v>7</v>
      </c>
      <c r="G111">
        <f>_xlfn.XLOOKUP(E111, products!$A$2:$A$7, products!$C$2:$C$7)</f>
        <v>1800</v>
      </c>
      <c r="H111">
        <f t="shared" si="1"/>
        <v>12600</v>
      </c>
    </row>
    <row r="112" spans="1:8">
      <c r="A112" s="2" t="s">
        <v>134</v>
      </c>
      <c r="B112" s="3">
        <v>46300</v>
      </c>
      <c r="C112" s="2" t="s">
        <v>24</v>
      </c>
      <c r="D112" s="2" t="s">
        <v>44</v>
      </c>
      <c r="E112" s="2" t="s">
        <v>30</v>
      </c>
      <c r="F112" s="2">
        <v>10</v>
      </c>
      <c r="G112">
        <f>_xlfn.XLOOKUP(E112, products!$A$2:$A$7, products!$C$2:$C$7)</f>
        <v>3200</v>
      </c>
      <c r="H112">
        <f t="shared" si="1"/>
        <v>32000</v>
      </c>
    </row>
    <row r="113" spans="1:8">
      <c r="A113" s="2" t="s">
        <v>135</v>
      </c>
      <c r="B113" s="3">
        <v>46301</v>
      </c>
      <c r="C113" s="2" t="s">
        <v>16</v>
      </c>
      <c r="D113" s="2" t="s">
        <v>44</v>
      </c>
      <c r="E113" s="2" t="s">
        <v>12</v>
      </c>
      <c r="F113" s="2">
        <v>10</v>
      </c>
      <c r="G113">
        <f>_xlfn.XLOOKUP(E113, products!$A$2:$A$7, products!$C$2:$C$7)</f>
        <v>400</v>
      </c>
      <c r="H113">
        <f t="shared" si="1"/>
        <v>4000</v>
      </c>
    </row>
    <row r="114" spans="1:8">
      <c r="A114" s="2" t="s">
        <v>136</v>
      </c>
      <c r="B114" s="3">
        <v>46301</v>
      </c>
      <c r="C114" s="2" t="s">
        <v>14</v>
      </c>
      <c r="D114" s="2" t="s">
        <v>17</v>
      </c>
      <c r="E114" s="2" t="s">
        <v>30</v>
      </c>
      <c r="F114" s="2">
        <v>9</v>
      </c>
      <c r="G114">
        <f>_xlfn.XLOOKUP(E114, products!$A$2:$A$7, products!$C$2:$C$7)</f>
        <v>3200</v>
      </c>
      <c r="H114">
        <f t="shared" si="1"/>
        <v>28800</v>
      </c>
    </row>
    <row r="115" spans="1:8">
      <c r="A115" s="2" t="s">
        <v>137</v>
      </c>
      <c r="B115" s="3">
        <v>46301</v>
      </c>
      <c r="C115" s="2" t="s">
        <v>24</v>
      </c>
      <c r="D115" s="2" t="s">
        <v>22</v>
      </c>
      <c r="E115" s="2" t="s">
        <v>12</v>
      </c>
      <c r="F115" s="2">
        <v>3</v>
      </c>
      <c r="G115">
        <f>_xlfn.XLOOKUP(E115, products!$A$2:$A$7, products!$C$2:$C$7)</f>
        <v>400</v>
      </c>
      <c r="H115">
        <f t="shared" si="1"/>
        <v>1200</v>
      </c>
    </row>
    <row r="116" spans="1:8">
      <c r="A116" s="2" t="s">
        <v>138</v>
      </c>
      <c r="B116" s="3">
        <v>46301</v>
      </c>
      <c r="C116" s="2" t="s">
        <v>16</v>
      </c>
      <c r="D116" s="2" t="s">
        <v>11</v>
      </c>
      <c r="E116" s="2" t="s">
        <v>12</v>
      </c>
      <c r="F116" s="2">
        <v>8</v>
      </c>
      <c r="G116">
        <f>_xlfn.XLOOKUP(E116, products!$A$2:$A$7, products!$C$2:$C$7)</f>
        <v>400</v>
      </c>
      <c r="H116">
        <f t="shared" si="1"/>
        <v>3200</v>
      </c>
    </row>
    <row r="117" spans="1:8">
      <c r="A117" s="2" t="s">
        <v>139</v>
      </c>
      <c r="B117" s="3">
        <v>46302</v>
      </c>
      <c r="C117" s="2" t="s">
        <v>16</v>
      </c>
      <c r="D117" s="2" t="s">
        <v>22</v>
      </c>
      <c r="E117" s="2" t="s">
        <v>12</v>
      </c>
      <c r="F117" s="2">
        <v>9</v>
      </c>
      <c r="G117">
        <f>_xlfn.XLOOKUP(E117, products!$A$2:$A$7, products!$C$2:$C$7)</f>
        <v>400</v>
      </c>
      <c r="H117">
        <f t="shared" si="1"/>
        <v>3600</v>
      </c>
    </row>
    <row r="118" spans="1:8">
      <c r="A118" s="2" t="s">
        <v>140</v>
      </c>
      <c r="B118" s="3">
        <v>46303</v>
      </c>
      <c r="C118" s="2" t="s">
        <v>10</v>
      </c>
      <c r="D118" s="2" t="s">
        <v>44</v>
      </c>
      <c r="E118" s="2" t="s">
        <v>12</v>
      </c>
      <c r="F118" s="2">
        <v>9</v>
      </c>
      <c r="G118">
        <f>_xlfn.XLOOKUP(E118, products!$A$2:$A$7, products!$C$2:$C$7)</f>
        <v>400</v>
      </c>
      <c r="H118">
        <f t="shared" si="1"/>
        <v>3600</v>
      </c>
    </row>
    <row r="119" spans="1:8">
      <c r="A119" s="2" t="s">
        <v>141</v>
      </c>
      <c r="B119" s="3">
        <v>46303</v>
      </c>
      <c r="C119" s="2" t="s">
        <v>14</v>
      </c>
      <c r="D119" s="2" t="s">
        <v>17</v>
      </c>
      <c r="E119" s="2" t="s">
        <v>25</v>
      </c>
      <c r="F119" s="2">
        <v>3</v>
      </c>
      <c r="G119">
        <f>_xlfn.XLOOKUP(E119, products!$A$2:$A$7, products!$C$2:$C$7)</f>
        <v>1800</v>
      </c>
      <c r="H119">
        <f t="shared" si="1"/>
        <v>5400</v>
      </c>
    </row>
    <row r="120" spans="1:8">
      <c r="A120" s="2" t="s">
        <v>142</v>
      </c>
      <c r="B120" s="3">
        <v>46303</v>
      </c>
      <c r="C120" s="2" t="s">
        <v>21</v>
      </c>
      <c r="D120" s="2" t="s">
        <v>17</v>
      </c>
      <c r="E120" s="2" t="s">
        <v>12</v>
      </c>
      <c r="F120" s="2">
        <v>11</v>
      </c>
      <c r="G120">
        <f>_xlfn.XLOOKUP(E120, products!$A$2:$A$7, products!$C$2:$C$7)</f>
        <v>400</v>
      </c>
      <c r="H120">
        <f t="shared" si="1"/>
        <v>4400</v>
      </c>
    </row>
    <row r="121" spans="1:8">
      <c r="A121" s="2" t="s">
        <v>143</v>
      </c>
      <c r="B121" s="3">
        <v>46304</v>
      </c>
      <c r="C121" s="2" t="s">
        <v>10</v>
      </c>
      <c r="D121" s="2" t="s">
        <v>22</v>
      </c>
      <c r="E121" s="2" t="s">
        <v>30</v>
      </c>
      <c r="F121" s="2">
        <v>1</v>
      </c>
      <c r="G121">
        <f>_xlfn.XLOOKUP(E121, products!$A$2:$A$7, products!$C$2:$C$7)</f>
        <v>3200</v>
      </c>
      <c r="H121">
        <f t="shared" si="1"/>
        <v>3200</v>
      </c>
    </row>
    <row r="122" spans="1:8">
      <c r="A122" s="2" t="s">
        <v>144</v>
      </c>
      <c r="B122" s="3">
        <v>46304</v>
      </c>
      <c r="C122" s="2" t="s">
        <v>14</v>
      </c>
      <c r="D122" s="2" t="s">
        <v>22</v>
      </c>
      <c r="E122" s="2" t="s">
        <v>19</v>
      </c>
      <c r="F122" s="2">
        <v>12</v>
      </c>
      <c r="G122">
        <f>_xlfn.XLOOKUP(E122, products!$A$2:$A$7, products!$C$2:$C$7)</f>
        <v>700</v>
      </c>
      <c r="H122">
        <f t="shared" si="1"/>
        <v>8400</v>
      </c>
    </row>
    <row r="123" spans="1:8">
      <c r="A123" s="2" t="s">
        <v>145</v>
      </c>
      <c r="B123" s="3">
        <v>46304</v>
      </c>
      <c r="C123" s="2" t="s">
        <v>21</v>
      </c>
      <c r="D123" s="2" t="s">
        <v>22</v>
      </c>
      <c r="E123" s="2" t="s">
        <v>30</v>
      </c>
      <c r="F123" s="2">
        <v>7</v>
      </c>
      <c r="G123">
        <f>_xlfn.XLOOKUP(E123, products!$A$2:$A$7, products!$C$2:$C$7)</f>
        <v>3200</v>
      </c>
      <c r="H123">
        <f t="shared" si="1"/>
        <v>22400</v>
      </c>
    </row>
    <row r="124" spans="1:8">
      <c r="A124" s="2" t="s">
        <v>146</v>
      </c>
      <c r="B124" s="3">
        <v>46305</v>
      </c>
      <c r="C124" s="2" t="s">
        <v>21</v>
      </c>
      <c r="D124" s="2" t="s">
        <v>11</v>
      </c>
      <c r="E124" s="2" t="s">
        <v>25</v>
      </c>
      <c r="F124" s="2">
        <v>12</v>
      </c>
      <c r="G124">
        <f>_xlfn.XLOOKUP(E124, products!$A$2:$A$7, products!$C$2:$C$7)</f>
        <v>1800</v>
      </c>
      <c r="H124">
        <f t="shared" si="1"/>
        <v>21600</v>
      </c>
    </row>
    <row r="125" spans="1:8">
      <c r="A125" s="2" t="s">
        <v>147</v>
      </c>
      <c r="B125" s="3">
        <v>46305</v>
      </c>
      <c r="C125" s="2" t="s">
        <v>21</v>
      </c>
      <c r="D125" s="2" t="s">
        <v>17</v>
      </c>
      <c r="E125" s="2" t="s">
        <v>28</v>
      </c>
      <c r="F125" s="2">
        <v>11</v>
      </c>
      <c r="G125">
        <f>_xlfn.XLOOKUP(E125, products!$A$2:$A$7, products!$C$2:$C$7)</f>
        <v>1000</v>
      </c>
      <c r="H125">
        <f t="shared" si="1"/>
        <v>11000</v>
      </c>
    </row>
    <row r="126" spans="1:8">
      <c r="A126" s="2" t="s">
        <v>148</v>
      </c>
      <c r="B126" s="3">
        <v>46305</v>
      </c>
      <c r="C126" s="2" t="s">
        <v>24</v>
      </c>
      <c r="D126" s="2" t="s">
        <v>22</v>
      </c>
      <c r="E126" s="2" t="s">
        <v>12</v>
      </c>
      <c r="F126" s="2">
        <v>8</v>
      </c>
      <c r="G126">
        <f>_xlfn.XLOOKUP(E126, products!$A$2:$A$7, products!$C$2:$C$7)</f>
        <v>400</v>
      </c>
      <c r="H126">
        <f t="shared" si="1"/>
        <v>3200</v>
      </c>
    </row>
    <row r="127" spans="1:8">
      <c r="A127" s="2" t="s">
        <v>149</v>
      </c>
      <c r="B127" s="3">
        <v>46305</v>
      </c>
      <c r="C127" s="2" t="s">
        <v>24</v>
      </c>
      <c r="D127" s="2" t="s">
        <v>17</v>
      </c>
      <c r="E127" s="2" t="s">
        <v>19</v>
      </c>
      <c r="F127" s="2">
        <v>5</v>
      </c>
      <c r="G127">
        <f>_xlfn.XLOOKUP(E127, products!$A$2:$A$7, products!$C$2:$C$7)</f>
        <v>700</v>
      </c>
      <c r="H127">
        <f t="shared" si="1"/>
        <v>3500</v>
      </c>
    </row>
    <row r="128" spans="1:8">
      <c r="A128" s="2" t="s">
        <v>150</v>
      </c>
      <c r="B128" s="3">
        <v>46305</v>
      </c>
      <c r="C128" s="2" t="s">
        <v>21</v>
      </c>
      <c r="D128" s="2" t="s">
        <v>22</v>
      </c>
      <c r="E128" s="2" t="s">
        <v>25</v>
      </c>
      <c r="F128" s="2">
        <v>9</v>
      </c>
      <c r="G128">
        <f>_xlfn.XLOOKUP(E128, products!$A$2:$A$7, products!$C$2:$C$7)</f>
        <v>1800</v>
      </c>
      <c r="H128">
        <f t="shared" si="1"/>
        <v>16200</v>
      </c>
    </row>
    <row r="129" spans="1:8">
      <c r="A129" s="2" t="s">
        <v>151</v>
      </c>
      <c r="B129" s="3">
        <v>46306</v>
      </c>
      <c r="C129" s="2" t="s">
        <v>21</v>
      </c>
      <c r="D129" s="2" t="s">
        <v>44</v>
      </c>
      <c r="E129" s="2" t="s">
        <v>12</v>
      </c>
      <c r="F129" s="2">
        <v>11</v>
      </c>
      <c r="G129">
        <f>_xlfn.XLOOKUP(E129, products!$A$2:$A$7, products!$C$2:$C$7)</f>
        <v>400</v>
      </c>
      <c r="H129">
        <f t="shared" si="1"/>
        <v>4400</v>
      </c>
    </row>
    <row r="130" spans="1:8">
      <c r="A130" s="2" t="s">
        <v>152</v>
      </c>
      <c r="B130" s="3">
        <v>46306</v>
      </c>
      <c r="C130" s="2" t="s">
        <v>14</v>
      </c>
      <c r="D130" s="2" t="s">
        <v>44</v>
      </c>
      <c r="E130" s="2" t="s">
        <v>33</v>
      </c>
      <c r="F130" s="2">
        <v>11</v>
      </c>
      <c r="G130">
        <f>_xlfn.XLOOKUP(E130, products!$A$2:$A$7, products!$C$2:$C$7)</f>
        <v>4500</v>
      </c>
      <c r="H130">
        <f t="shared" si="1"/>
        <v>49500</v>
      </c>
    </row>
    <row r="131" spans="1:8">
      <c r="A131" s="2" t="s">
        <v>153</v>
      </c>
      <c r="B131" s="3">
        <v>46306</v>
      </c>
      <c r="C131" s="2" t="s">
        <v>16</v>
      </c>
      <c r="D131" s="2" t="s">
        <v>11</v>
      </c>
      <c r="E131" s="2" t="s">
        <v>28</v>
      </c>
      <c r="F131" s="2">
        <v>2</v>
      </c>
      <c r="G131">
        <f>_xlfn.XLOOKUP(E131, products!$A$2:$A$7, products!$C$2:$C$7)</f>
        <v>1000</v>
      </c>
      <c r="H131">
        <f t="shared" ref="H131:H181" si="2">F131*G131</f>
        <v>2000</v>
      </c>
    </row>
    <row r="132" spans="1:8">
      <c r="A132" s="2" t="s">
        <v>154</v>
      </c>
      <c r="B132" s="3">
        <v>46306</v>
      </c>
      <c r="C132" s="2" t="s">
        <v>16</v>
      </c>
      <c r="D132" s="2" t="s">
        <v>11</v>
      </c>
      <c r="E132" s="2" t="s">
        <v>25</v>
      </c>
      <c r="F132" s="2">
        <v>10</v>
      </c>
      <c r="G132">
        <f>_xlfn.XLOOKUP(E132, products!$A$2:$A$7, products!$C$2:$C$7)</f>
        <v>1800</v>
      </c>
      <c r="H132">
        <f t="shared" si="2"/>
        <v>18000</v>
      </c>
    </row>
    <row r="133" spans="1:8">
      <c r="A133" s="2" t="s">
        <v>155</v>
      </c>
      <c r="B133" s="3">
        <v>46306</v>
      </c>
      <c r="C133" s="2" t="s">
        <v>10</v>
      </c>
      <c r="D133" s="2" t="s">
        <v>17</v>
      </c>
      <c r="E133" s="2" t="s">
        <v>30</v>
      </c>
      <c r="F133" s="2">
        <v>4</v>
      </c>
      <c r="G133">
        <f>_xlfn.XLOOKUP(E133, products!$A$2:$A$7, products!$C$2:$C$7)</f>
        <v>3200</v>
      </c>
      <c r="H133">
        <f t="shared" si="2"/>
        <v>12800</v>
      </c>
    </row>
    <row r="134" spans="1:8">
      <c r="A134" s="2" t="s">
        <v>156</v>
      </c>
      <c r="B134" s="3">
        <v>46306</v>
      </c>
      <c r="C134" s="2" t="s">
        <v>14</v>
      </c>
      <c r="D134" s="2" t="s">
        <v>17</v>
      </c>
      <c r="E134" s="2" t="s">
        <v>28</v>
      </c>
      <c r="F134" s="2">
        <v>10</v>
      </c>
      <c r="G134">
        <f>_xlfn.XLOOKUP(E134, products!$A$2:$A$7, products!$C$2:$C$7)</f>
        <v>1000</v>
      </c>
      <c r="H134">
        <f t="shared" si="2"/>
        <v>10000</v>
      </c>
    </row>
    <row r="135" spans="1:8">
      <c r="A135" s="2" t="s">
        <v>157</v>
      </c>
      <c r="B135" s="3">
        <v>46306</v>
      </c>
      <c r="C135" s="2" t="s">
        <v>24</v>
      </c>
      <c r="D135" s="2" t="s">
        <v>44</v>
      </c>
      <c r="E135" s="2" t="s">
        <v>28</v>
      </c>
      <c r="F135" s="2">
        <v>12</v>
      </c>
      <c r="G135">
        <f>_xlfn.XLOOKUP(E135, products!$A$2:$A$7, products!$C$2:$C$7)</f>
        <v>1000</v>
      </c>
      <c r="H135">
        <f t="shared" si="2"/>
        <v>12000</v>
      </c>
    </row>
    <row r="136" spans="1:8">
      <c r="A136" s="2" t="s">
        <v>158</v>
      </c>
      <c r="B136" s="3">
        <v>46307</v>
      </c>
      <c r="C136" s="2" t="s">
        <v>24</v>
      </c>
      <c r="D136" s="2" t="s">
        <v>22</v>
      </c>
      <c r="E136" s="2" t="s">
        <v>33</v>
      </c>
      <c r="F136" s="2">
        <v>3</v>
      </c>
      <c r="G136">
        <f>_xlfn.XLOOKUP(E136, products!$A$2:$A$7, products!$C$2:$C$7)</f>
        <v>4500</v>
      </c>
      <c r="H136">
        <f t="shared" si="2"/>
        <v>13500</v>
      </c>
    </row>
    <row r="137" spans="1:8">
      <c r="A137" s="2" t="s">
        <v>159</v>
      </c>
      <c r="B137" s="3">
        <v>46307</v>
      </c>
      <c r="C137" s="2" t="s">
        <v>16</v>
      </c>
      <c r="D137" s="2" t="s">
        <v>22</v>
      </c>
      <c r="E137" s="2" t="s">
        <v>19</v>
      </c>
      <c r="F137" s="2">
        <v>11</v>
      </c>
      <c r="G137">
        <f>_xlfn.XLOOKUP(E137, products!$A$2:$A$7, products!$C$2:$C$7)</f>
        <v>700</v>
      </c>
      <c r="H137">
        <f t="shared" si="2"/>
        <v>7700</v>
      </c>
    </row>
    <row r="138" spans="1:8">
      <c r="A138" s="2" t="s">
        <v>160</v>
      </c>
      <c r="B138" s="3">
        <v>46307</v>
      </c>
      <c r="C138" s="2" t="s">
        <v>16</v>
      </c>
      <c r="D138" s="2" t="s">
        <v>22</v>
      </c>
      <c r="E138" s="2" t="s">
        <v>19</v>
      </c>
      <c r="F138" s="2">
        <v>1</v>
      </c>
      <c r="G138">
        <f>_xlfn.XLOOKUP(E138, products!$A$2:$A$7, products!$C$2:$C$7)</f>
        <v>700</v>
      </c>
      <c r="H138">
        <f t="shared" si="2"/>
        <v>700</v>
      </c>
    </row>
    <row r="139" spans="1:8">
      <c r="A139" s="2" t="s">
        <v>161</v>
      </c>
      <c r="B139" s="3">
        <v>46308</v>
      </c>
      <c r="C139" s="2" t="s">
        <v>14</v>
      </c>
      <c r="D139" s="2" t="s">
        <v>17</v>
      </c>
      <c r="E139" s="2" t="s">
        <v>19</v>
      </c>
      <c r="F139" s="2">
        <v>7</v>
      </c>
      <c r="G139">
        <f>_xlfn.XLOOKUP(E139, products!$A$2:$A$7, products!$C$2:$C$7)</f>
        <v>700</v>
      </c>
      <c r="H139">
        <f t="shared" si="2"/>
        <v>4900</v>
      </c>
    </row>
    <row r="140" spans="1:8">
      <c r="A140" s="2" t="s">
        <v>162</v>
      </c>
      <c r="B140" s="3">
        <v>46309</v>
      </c>
      <c r="C140" s="2" t="s">
        <v>10</v>
      </c>
      <c r="D140" s="2" t="s">
        <v>22</v>
      </c>
      <c r="E140" s="2" t="s">
        <v>12</v>
      </c>
      <c r="F140" s="2">
        <v>1</v>
      </c>
      <c r="G140">
        <f>_xlfn.XLOOKUP(E140, products!$A$2:$A$7, products!$C$2:$C$7)</f>
        <v>400</v>
      </c>
      <c r="H140">
        <f t="shared" si="2"/>
        <v>400</v>
      </c>
    </row>
    <row r="141" spans="1:8">
      <c r="A141" s="2" t="s">
        <v>163</v>
      </c>
      <c r="B141" s="3">
        <v>46309</v>
      </c>
      <c r="C141" s="2" t="s">
        <v>21</v>
      </c>
      <c r="D141" s="2" t="s">
        <v>22</v>
      </c>
      <c r="E141" s="2" t="s">
        <v>25</v>
      </c>
      <c r="F141" s="2">
        <v>10</v>
      </c>
      <c r="G141">
        <f>_xlfn.XLOOKUP(E141, products!$A$2:$A$7, products!$C$2:$C$7)</f>
        <v>1800</v>
      </c>
      <c r="H141">
        <f t="shared" si="2"/>
        <v>18000</v>
      </c>
    </row>
    <row r="142" spans="1:8">
      <c r="A142" s="2" t="s">
        <v>164</v>
      </c>
      <c r="B142" s="3">
        <v>46309</v>
      </c>
      <c r="C142" s="2" t="s">
        <v>14</v>
      </c>
      <c r="D142" s="2" t="s">
        <v>11</v>
      </c>
      <c r="E142" s="2" t="s">
        <v>33</v>
      </c>
      <c r="F142" s="2">
        <v>12</v>
      </c>
      <c r="G142">
        <f>_xlfn.XLOOKUP(E142, products!$A$2:$A$7, products!$C$2:$C$7)</f>
        <v>4500</v>
      </c>
      <c r="H142">
        <f t="shared" si="2"/>
        <v>54000</v>
      </c>
    </row>
    <row r="143" spans="1:8">
      <c r="A143" s="2" t="s">
        <v>165</v>
      </c>
      <c r="B143" s="3">
        <v>46310</v>
      </c>
      <c r="C143" s="2" t="s">
        <v>24</v>
      </c>
      <c r="D143" s="2" t="s">
        <v>17</v>
      </c>
      <c r="E143" s="2" t="s">
        <v>30</v>
      </c>
      <c r="F143" s="2">
        <v>1</v>
      </c>
      <c r="G143">
        <f>_xlfn.XLOOKUP(E143, products!$A$2:$A$7, products!$C$2:$C$7)</f>
        <v>3200</v>
      </c>
      <c r="H143">
        <f t="shared" si="2"/>
        <v>3200</v>
      </c>
    </row>
    <row r="144" spans="1:8">
      <c r="A144" s="2" t="s">
        <v>166</v>
      </c>
      <c r="B144" s="3">
        <v>46310</v>
      </c>
      <c r="C144" s="2" t="s">
        <v>21</v>
      </c>
      <c r="D144" s="2" t="s">
        <v>17</v>
      </c>
      <c r="E144" s="2" t="s">
        <v>12</v>
      </c>
      <c r="F144" s="2">
        <v>9</v>
      </c>
      <c r="G144">
        <f>_xlfn.XLOOKUP(E144, products!$A$2:$A$7, products!$C$2:$C$7)</f>
        <v>400</v>
      </c>
      <c r="H144">
        <f t="shared" si="2"/>
        <v>3600</v>
      </c>
    </row>
    <row r="145" spans="1:8">
      <c r="A145" s="2" t="s">
        <v>167</v>
      </c>
      <c r="B145" s="3">
        <v>46310</v>
      </c>
      <c r="C145" s="2" t="s">
        <v>16</v>
      </c>
      <c r="D145" s="2" t="s">
        <v>22</v>
      </c>
      <c r="E145" s="2" t="s">
        <v>30</v>
      </c>
      <c r="F145" s="2">
        <v>8</v>
      </c>
      <c r="G145">
        <f>_xlfn.XLOOKUP(E145, products!$A$2:$A$7, products!$C$2:$C$7)</f>
        <v>3200</v>
      </c>
      <c r="H145">
        <f t="shared" si="2"/>
        <v>25600</v>
      </c>
    </row>
    <row r="146" spans="1:8">
      <c r="A146" s="2" t="s">
        <v>168</v>
      </c>
      <c r="B146" s="3">
        <v>46311</v>
      </c>
      <c r="C146" s="2" t="s">
        <v>10</v>
      </c>
      <c r="D146" s="2" t="s">
        <v>44</v>
      </c>
      <c r="E146" s="2" t="s">
        <v>33</v>
      </c>
      <c r="F146" s="2">
        <v>10</v>
      </c>
      <c r="G146">
        <f>_xlfn.XLOOKUP(E146, products!$A$2:$A$7, products!$C$2:$C$7)</f>
        <v>4500</v>
      </c>
      <c r="H146">
        <f t="shared" si="2"/>
        <v>45000</v>
      </c>
    </row>
    <row r="147" spans="1:8">
      <c r="A147" s="2" t="s">
        <v>169</v>
      </c>
      <c r="B147" s="3">
        <v>46311</v>
      </c>
      <c r="C147" s="2" t="s">
        <v>10</v>
      </c>
      <c r="D147" s="2" t="s">
        <v>11</v>
      </c>
      <c r="E147" s="2" t="s">
        <v>12</v>
      </c>
      <c r="F147" s="2">
        <v>10</v>
      </c>
      <c r="G147">
        <f>_xlfn.XLOOKUP(E147, products!$A$2:$A$7, products!$C$2:$C$7)</f>
        <v>400</v>
      </c>
      <c r="H147">
        <f t="shared" si="2"/>
        <v>4000</v>
      </c>
    </row>
    <row r="148" spans="1:8">
      <c r="A148" s="2" t="s">
        <v>170</v>
      </c>
      <c r="B148" s="3">
        <v>46311</v>
      </c>
      <c r="C148" s="2" t="s">
        <v>21</v>
      </c>
      <c r="D148" s="2" t="s">
        <v>44</v>
      </c>
      <c r="E148" s="2" t="s">
        <v>30</v>
      </c>
      <c r="F148" s="2">
        <v>12</v>
      </c>
      <c r="G148">
        <f>_xlfn.XLOOKUP(E148, products!$A$2:$A$7, products!$C$2:$C$7)</f>
        <v>3200</v>
      </c>
      <c r="H148">
        <f t="shared" si="2"/>
        <v>38400</v>
      </c>
    </row>
    <row r="149" spans="1:8">
      <c r="A149" s="2" t="s">
        <v>171</v>
      </c>
      <c r="B149" s="3">
        <v>46311</v>
      </c>
      <c r="C149" s="2" t="s">
        <v>21</v>
      </c>
      <c r="D149" s="2" t="s">
        <v>17</v>
      </c>
      <c r="E149" s="2" t="s">
        <v>25</v>
      </c>
      <c r="F149" s="2">
        <v>7</v>
      </c>
      <c r="G149">
        <f>_xlfn.XLOOKUP(E149, products!$A$2:$A$7, products!$C$2:$C$7)</f>
        <v>1800</v>
      </c>
      <c r="H149">
        <f t="shared" si="2"/>
        <v>12600</v>
      </c>
    </row>
    <row r="150" spans="1:8">
      <c r="A150" s="2" t="s">
        <v>172</v>
      </c>
      <c r="B150" s="3">
        <v>46312</v>
      </c>
      <c r="C150" s="2" t="s">
        <v>14</v>
      </c>
      <c r="D150" s="2" t="s">
        <v>11</v>
      </c>
      <c r="E150" s="2" t="s">
        <v>25</v>
      </c>
      <c r="F150" s="2">
        <v>2</v>
      </c>
      <c r="G150">
        <f>_xlfn.XLOOKUP(E150, products!$A$2:$A$7, products!$C$2:$C$7)</f>
        <v>1800</v>
      </c>
      <c r="H150">
        <f t="shared" si="2"/>
        <v>3600</v>
      </c>
    </row>
    <row r="151" spans="1:8">
      <c r="A151" s="2" t="s">
        <v>173</v>
      </c>
      <c r="B151" s="3">
        <v>46312</v>
      </c>
      <c r="C151" s="2" t="s">
        <v>14</v>
      </c>
      <c r="D151" s="2" t="s">
        <v>44</v>
      </c>
      <c r="E151" s="2" t="s">
        <v>19</v>
      </c>
      <c r="F151" s="2">
        <v>12</v>
      </c>
      <c r="G151">
        <f>_xlfn.XLOOKUP(E151, products!$A$2:$A$7, products!$C$2:$C$7)</f>
        <v>700</v>
      </c>
      <c r="H151">
        <f t="shared" si="2"/>
        <v>8400</v>
      </c>
    </row>
    <row r="152" spans="1:8">
      <c r="A152" s="2" t="s">
        <v>174</v>
      </c>
      <c r="B152" s="3">
        <v>46312</v>
      </c>
      <c r="C152" s="2" t="s">
        <v>24</v>
      </c>
      <c r="D152" s="2" t="s">
        <v>22</v>
      </c>
      <c r="E152" s="2" t="s">
        <v>30</v>
      </c>
      <c r="F152" s="2">
        <v>10</v>
      </c>
      <c r="G152">
        <f>_xlfn.XLOOKUP(E152, products!$A$2:$A$7, products!$C$2:$C$7)</f>
        <v>3200</v>
      </c>
      <c r="H152">
        <f t="shared" si="2"/>
        <v>32000</v>
      </c>
    </row>
    <row r="153" spans="1:8">
      <c r="A153" s="2" t="s">
        <v>175</v>
      </c>
      <c r="B153" s="3">
        <v>46313</v>
      </c>
      <c r="C153" s="2" t="s">
        <v>24</v>
      </c>
      <c r="D153" s="2" t="s">
        <v>17</v>
      </c>
      <c r="E153" s="2" t="s">
        <v>30</v>
      </c>
      <c r="F153" s="2">
        <v>1</v>
      </c>
      <c r="G153">
        <f>_xlfn.XLOOKUP(E153, products!$A$2:$A$7, products!$C$2:$C$7)</f>
        <v>3200</v>
      </c>
      <c r="H153">
        <f t="shared" si="2"/>
        <v>3200</v>
      </c>
    </row>
    <row r="154" spans="1:8">
      <c r="A154" s="2" t="s">
        <v>176</v>
      </c>
      <c r="B154" s="3">
        <v>46313</v>
      </c>
      <c r="C154" s="2" t="s">
        <v>16</v>
      </c>
      <c r="D154" s="2" t="s">
        <v>11</v>
      </c>
      <c r="E154" s="2" t="s">
        <v>28</v>
      </c>
      <c r="F154" s="2">
        <v>2</v>
      </c>
      <c r="G154">
        <f>_xlfn.XLOOKUP(E154, products!$A$2:$A$7, products!$C$2:$C$7)</f>
        <v>1000</v>
      </c>
      <c r="H154">
        <f t="shared" si="2"/>
        <v>2000</v>
      </c>
    </row>
    <row r="155" spans="1:8">
      <c r="A155" s="2" t="s">
        <v>177</v>
      </c>
      <c r="B155" s="3">
        <v>46313</v>
      </c>
      <c r="C155" s="2" t="s">
        <v>16</v>
      </c>
      <c r="D155" s="2" t="s">
        <v>44</v>
      </c>
      <c r="E155" s="2" t="s">
        <v>25</v>
      </c>
      <c r="F155" s="2">
        <v>6</v>
      </c>
      <c r="G155">
        <f>_xlfn.XLOOKUP(E155, products!$A$2:$A$7, products!$C$2:$C$7)</f>
        <v>1800</v>
      </c>
      <c r="H155">
        <f t="shared" si="2"/>
        <v>10800</v>
      </c>
    </row>
    <row r="156" spans="1:8">
      <c r="A156" s="2" t="s">
        <v>178</v>
      </c>
      <c r="B156" s="3">
        <v>46313</v>
      </c>
      <c r="C156" s="2" t="s">
        <v>14</v>
      </c>
      <c r="D156" s="2" t="s">
        <v>22</v>
      </c>
      <c r="E156" s="2" t="s">
        <v>33</v>
      </c>
      <c r="F156" s="2">
        <v>4</v>
      </c>
      <c r="G156">
        <f>_xlfn.XLOOKUP(E156, products!$A$2:$A$7, products!$C$2:$C$7)</f>
        <v>4500</v>
      </c>
      <c r="H156">
        <f t="shared" si="2"/>
        <v>18000</v>
      </c>
    </row>
    <row r="157" spans="1:8">
      <c r="A157" s="2" t="s">
        <v>179</v>
      </c>
      <c r="B157" s="3">
        <v>46313</v>
      </c>
      <c r="C157" s="2" t="s">
        <v>16</v>
      </c>
      <c r="D157" s="2" t="s">
        <v>22</v>
      </c>
      <c r="E157" s="2" t="s">
        <v>33</v>
      </c>
      <c r="F157" s="2">
        <v>8</v>
      </c>
      <c r="G157">
        <f>_xlfn.XLOOKUP(E157, products!$A$2:$A$7, products!$C$2:$C$7)</f>
        <v>4500</v>
      </c>
      <c r="H157">
        <f t="shared" si="2"/>
        <v>36000</v>
      </c>
    </row>
    <row r="158" spans="1:8">
      <c r="A158" s="2" t="s">
        <v>180</v>
      </c>
      <c r="B158" s="3">
        <v>46313</v>
      </c>
      <c r="C158" s="2" t="s">
        <v>14</v>
      </c>
      <c r="D158" s="2" t="s">
        <v>44</v>
      </c>
      <c r="E158" s="2" t="s">
        <v>25</v>
      </c>
      <c r="F158" s="2">
        <v>6</v>
      </c>
      <c r="G158">
        <f>_xlfn.XLOOKUP(E158, products!$A$2:$A$7, products!$C$2:$C$7)</f>
        <v>1800</v>
      </c>
      <c r="H158">
        <f t="shared" si="2"/>
        <v>10800</v>
      </c>
    </row>
    <row r="159" spans="1:8">
      <c r="A159" s="2" t="s">
        <v>181</v>
      </c>
      <c r="B159" s="3">
        <v>46314</v>
      </c>
      <c r="C159" s="2" t="s">
        <v>16</v>
      </c>
      <c r="D159" s="2" t="s">
        <v>44</v>
      </c>
      <c r="E159" s="2" t="s">
        <v>33</v>
      </c>
      <c r="F159" s="2">
        <v>2</v>
      </c>
      <c r="G159">
        <f>_xlfn.XLOOKUP(E159, products!$A$2:$A$7, products!$C$2:$C$7)</f>
        <v>4500</v>
      </c>
      <c r="H159">
        <f t="shared" si="2"/>
        <v>9000</v>
      </c>
    </row>
    <row r="160" spans="1:8">
      <c r="A160" s="2" t="s">
        <v>182</v>
      </c>
      <c r="B160" s="3">
        <v>46314</v>
      </c>
      <c r="C160" s="2" t="s">
        <v>16</v>
      </c>
      <c r="D160" s="2" t="s">
        <v>17</v>
      </c>
      <c r="E160" s="2" t="s">
        <v>25</v>
      </c>
      <c r="F160" s="2">
        <v>9</v>
      </c>
      <c r="G160">
        <f>_xlfn.XLOOKUP(E160, products!$A$2:$A$7, products!$C$2:$C$7)</f>
        <v>1800</v>
      </c>
      <c r="H160">
        <f t="shared" si="2"/>
        <v>16200</v>
      </c>
    </row>
    <row r="161" spans="1:8">
      <c r="A161" s="2" t="s">
        <v>183</v>
      </c>
      <c r="B161" s="3">
        <v>46314</v>
      </c>
      <c r="C161" s="2" t="s">
        <v>16</v>
      </c>
      <c r="D161" s="2" t="s">
        <v>44</v>
      </c>
      <c r="E161" s="2" t="s">
        <v>19</v>
      </c>
      <c r="F161" s="2">
        <v>6</v>
      </c>
      <c r="G161">
        <f>_xlfn.XLOOKUP(E161, products!$A$2:$A$7, products!$C$2:$C$7)</f>
        <v>700</v>
      </c>
      <c r="H161">
        <f t="shared" si="2"/>
        <v>4200</v>
      </c>
    </row>
    <row r="162" spans="1:8">
      <c r="A162" s="2" t="s">
        <v>184</v>
      </c>
      <c r="B162" s="3">
        <v>46315</v>
      </c>
      <c r="C162" s="2" t="s">
        <v>21</v>
      </c>
      <c r="D162" s="2" t="s">
        <v>44</v>
      </c>
      <c r="E162" s="2" t="s">
        <v>33</v>
      </c>
      <c r="F162" s="2">
        <v>5</v>
      </c>
      <c r="G162">
        <f>_xlfn.XLOOKUP(E162, products!$A$2:$A$7, products!$C$2:$C$7)</f>
        <v>4500</v>
      </c>
      <c r="H162">
        <f t="shared" si="2"/>
        <v>22500</v>
      </c>
    </row>
    <row r="163" spans="1:8">
      <c r="A163" s="2" t="s">
        <v>185</v>
      </c>
      <c r="B163" s="3">
        <v>46315</v>
      </c>
      <c r="C163" s="2" t="s">
        <v>14</v>
      </c>
      <c r="D163" s="2" t="s">
        <v>44</v>
      </c>
      <c r="E163" s="2" t="s">
        <v>33</v>
      </c>
      <c r="F163" s="2">
        <v>4</v>
      </c>
      <c r="G163">
        <f>_xlfn.XLOOKUP(E163, products!$A$2:$A$7, products!$C$2:$C$7)</f>
        <v>4500</v>
      </c>
      <c r="H163">
        <f t="shared" si="2"/>
        <v>18000</v>
      </c>
    </row>
    <row r="164" spans="1:8">
      <c r="A164" s="2" t="s">
        <v>186</v>
      </c>
      <c r="B164" s="3">
        <v>46315</v>
      </c>
      <c r="C164" s="2" t="s">
        <v>21</v>
      </c>
      <c r="D164" s="2" t="s">
        <v>22</v>
      </c>
      <c r="E164" s="2" t="s">
        <v>25</v>
      </c>
      <c r="F164" s="2">
        <v>3</v>
      </c>
      <c r="G164">
        <f>_xlfn.XLOOKUP(E164, products!$A$2:$A$7, products!$C$2:$C$7)</f>
        <v>1800</v>
      </c>
      <c r="H164">
        <f t="shared" si="2"/>
        <v>5400</v>
      </c>
    </row>
    <row r="165" spans="1:8">
      <c r="A165" s="2" t="s">
        <v>187</v>
      </c>
      <c r="B165" s="3">
        <v>46316</v>
      </c>
      <c r="C165" s="2" t="s">
        <v>24</v>
      </c>
      <c r="D165" s="2" t="s">
        <v>22</v>
      </c>
      <c r="E165" s="2" t="s">
        <v>19</v>
      </c>
      <c r="F165" s="2">
        <v>3</v>
      </c>
      <c r="G165">
        <f>_xlfn.XLOOKUP(E165, products!$A$2:$A$7, products!$C$2:$C$7)</f>
        <v>700</v>
      </c>
      <c r="H165">
        <f t="shared" si="2"/>
        <v>2100</v>
      </c>
    </row>
    <row r="166" spans="1:8">
      <c r="A166" s="2" t="s">
        <v>188</v>
      </c>
      <c r="B166" s="3">
        <v>46316</v>
      </c>
      <c r="C166" s="2" t="s">
        <v>24</v>
      </c>
      <c r="D166" s="2" t="s">
        <v>11</v>
      </c>
      <c r="E166" s="2" t="s">
        <v>28</v>
      </c>
      <c r="F166" s="2">
        <v>5</v>
      </c>
      <c r="G166">
        <f>_xlfn.XLOOKUP(E166, products!$A$2:$A$7, products!$C$2:$C$7)</f>
        <v>1000</v>
      </c>
      <c r="H166">
        <f t="shared" si="2"/>
        <v>5000</v>
      </c>
    </row>
    <row r="167" spans="1:8">
      <c r="A167" s="2" t="s">
        <v>189</v>
      </c>
      <c r="B167" s="3">
        <v>46317</v>
      </c>
      <c r="C167" s="2" t="s">
        <v>16</v>
      </c>
      <c r="D167" s="2" t="s">
        <v>17</v>
      </c>
      <c r="E167" s="2" t="s">
        <v>12</v>
      </c>
      <c r="F167" s="2">
        <v>4</v>
      </c>
      <c r="G167">
        <f>_xlfn.XLOOKUP(E167, products!$A$2:$A$7, products!$C$2:$C$7)</f>
        <v>400</v>
      </c>
      <c r="H167">
        <f t="shared" si="2"/>
        <v>1600</v>
      </c>
    </row>
    <row r="168" spans="1:8">
      <c r="A168" s="2" t="s">
        <v>190</v>
      </c>
      <c r="B168" s="3">
        <v>46317</v>
      </c>
      <c r="C168" s="2" t="s">
        <v>21</v>
      </c>
      <c r="D168" s="2" t="s">
        <v>44</v>
      </c>
      <c r="E168" s="2" t="s">
        <v>33</v>
      </c>
      <c r="F168" s="2">
        <v>3</v>
      </c>
      <c r="G168">
        <f>_xlfn.XLOOKUP(E168, products!$A$2:$A$7, products!$C$2:$C$7)</f>
        <v>4500</v>
      </c>
      <c r="H168">
        <f t="shared" si="2"/>
        <v>13500</v>
      </c>
    </row>
    <row r="169" spans="1:8">
      <c r="A169" s="2" t="s">
        <v>191</v>
      </c>
      <c r="B169" s="3">
        <v>46317</v>
      </c>
      <c r="C169" s="2" t="s">
        <v>10</v>
      </c>
      <c r="D169" s="2" t="s">
        <v>17</v>
      </c>
      <c r="E169" s="2" t="s">
        <v>30</v>
      </c>
      <c r="F169" s="2">
        <v>10</v>
      </c>
      <c r="G169">
        <f>_xlfn.XLOOKUP(E169, products!$A$2:$A$7, products!$C$2:$C$7)</f>
        <v>3200</v>
      </c>
      <c r="H169">
        <f t="shared" si="2"/>
        <v>32000</v>
      </c>
    </row>
    <row r="170" spans="1:8">
      <c r="A170" s="2" t="s">
        <v>192</v>
      </c>
      <c r="B170" s="3">
        <v>46317</v>
      </c>
      <c r="C170" s="2" t="s">
        <v>24</v>
      </c>
      <c r="D170" s="2" t="s">
        <v>17</v>
      </c>
      <c r="E170" s="2" t="s">
        <v>12</v>
      </c>
      <c r="F170" s="2">
        <v>7</v>
      </c>
      <c r="G170">
        <f>_xlfn.XLOOKUP(E170, products!$A$2:$A$7, products!$C$2:$C$7)</f>
        <v>400</v>
      </c>
      <c r="H170">
        <f t="shared" si="2"/>
        <v>2800</v>
      </c>
    </row>
    <row r="171" spans="1:8">
      <c r="A171" s="2" t="s">
        <v>193</v>
      </c>
      <c r="B171" s="3">
        <v>46319</v>
      </c>
      <c r="C171" s="2" t="s">
        <v>24</v>
      </c>
      <c r="D171" s="2" t="s">
        <v>22</v>
      </c>
      <c r="E171" s="2" t="s">
        <v>33</v>
      </c>
      <c r="F171" s="2">
        <v>1</v>
      </c>
      <c r="G171">
        <f>_xlfn.XLOOKUP(E171, products!$A$2:$A$7, products!$C$2:$C$7)</f>
        <v>4500</v>
      </c>
      <c r="H171">
        <f t="shared" si="2"/>
        <v>4500</v>
      </c>
    </row>
    <row r="172" spans="1:8">
      <c r="A172" s="2" t="s">
        <v>194</v>
      </c>
      <c r="B172" s="3">
        <v>46319</v>
      </c>
      <c r="C172" s="2" t="s">
        <v>21</v>
      </c>
      <c r="D172" s="2" t="s">
        <v>11</v>
      </c>
      <c r="E172" s="2" t="s">
        <v>28</v>
      </c>
      <c r="F172" s="2">
        <v>4</v>
      </c>
      <c r="G172">
        <f>_xlfn.XLOOKUP(E172, products!$A$2:$A$7, products!$C$2:$C$7)</f>
        <v>1000</v>
      </c>
      <c r="H172">
        <f t="shared" si="2"/>
        <v>4000</v>
      </c>
    </row>
    <row r="173" spans="1:8">
      <c r="A173" s="2" t="s">
        <v>195</v>
      </c>
      <c r="B173" s="3">
        <v>46319</v>
      </c>
      <c r="C173" s="2" t="s">
        <v>24</v>
      </c>
      <c r="D173" s="2" t="s">
        <v>11</v>
      </c>
      <c r="E173" s="2" t="s">
        <v>28</v>
      </c>
      <c r="F173" s="2">
        <v>11</v>
      </c>
      <c r="G173">
        <f>_xlfn.XLOOKUP(E173, products!$A$2:$A$7, products!$C$2:$C$7)</f>
        <v>1000</v>
      </c>
      <c r="H173">
        <f t="shared" si="2"/>
        <v>11000</v>
      </c>
    </row>
    <row r="174" spans="1:8">
      <c r="A174" s="2" t="s">
        <v>196</v>
      </c>
      <c r="B174" s="3">
        <v>46320</v>
      </c>
      <c r="C174" s="2" t="s">
        <v>24</v>
      </c>
      <c r="D174" s="2" t="s">
        <v>17</v>
      </c>
      <c r="E174" s="2" t="s">
        <v>25</v>
      </c>
      <c r="F174" s="2">
        <v>9</v>
      </c>
      <c r="G174">
        <f>_xlfn.XLOOKUP(E174, products!$A$2:$A$7, products!$C$2:$C$7)</f>
        <v>1800</v>
      </c>
      <c r="H174">
        <f t="shared" si="2"/>
        <v>16200</v>
      </c>
    </row>
    <row r="175" spans="1:8">
      <c r="A175" s="2" t="s">
        <v>197</v>
      </c>
      <c r="B175" s="3">
        <v>46320</v>
      </c>
      <c r="C175" s="2" t="s">
        <v>24</v>
      </c>
      <c r="D175" s="2" t="s">
        <v>22</v>
      </c>
      <c r="E175" s="2" t="s">
        <v>28</v>
      </c>
      <c r="F175" s="2">
        <v>4</v>
      </c>
      <c r="G175">
        <f>_xlfn.XLOOKUP(E175, products!$A$2:$A$7, products!$C$2:$C$7)</f>
        <v>1000</v>
      </c>
      <c r="H175">
        <f>F175*G175</f>
        <v>4000</v>
      </c>
    </row>
    <row r="176" spans="1:8">
      <c r="A176" s="2" t="s">
        <v>198</v>
      </c>
      <c r="B176" s="3">
        <v>46320</v>
      </c>
      <c r="C176" s="2" t="s">
        <v>21</v>
      </c>
      <c r="D176" s="2" t="s">
        <v>11</v>
      </c>
      <c r="E176" s="2" t="s">
        <v>30</v>
      </c>
      <c r="F176" s="2">
        <v>2</v>
      </c>
      <c r="G176">
        <f>_xlfn.XLOOKUP(E176, products!$A$2:$A$7, products!$C$2:$C$7)</f>
        <v>3200</v>
      </c>
      <c r="H176">
        <f t="shared" si="2"/>
        <v>6400</v>
      </c>
    </row>
    <row r="177" spans="1:8">
      <c r="A177" s="2" t="s">
        <v>199</v>
      </c>
      <c r="B177" s="3">
        <v>46320</v>
      </c>
      <c r="C177" s="2" t="s">
        <v>24</v>
      </c>
      <c r="D177" s="2" t="s">
        <v>17</v>
      </c>
      <c r="E177" s="2" t="s">
        <v>25</v>
      </c>
      <c r="F177" s="2">
        <v>12</v>
      </c>
      <c r="G177">
        <f>_xlfn.XLOOKUP(E177, products!$A$2:$A$7, products!$C$2:$C$7)</f>
        <v>1800</v>
      </c>
      <c r="H177">
        <f t="shared" si="2"/>
        <v>21600</v>
      </c>
    </row>
    <row r="178" spans="1:8">
      <c r="A178" s="2" t="s">
        <v>200</v>
      </c>
      <c r="B178" s="3">
        <v>46320</v>
      </c>
      <c r="C178" s="2" t="s">
        <v>21</v>
      </c>
      <c r="D178" s="2" t="s">
        <v>44</v>
      </c>
      <c r="E178" s="2" t="s">
        <v>19</v>
      </c>
      <c r="F178" s="2">
        <v>2</v>
      </c>
      <c r="G178">
        <f>_xlfn.XLOOKUP(E178, products!$A$2:$A$7, products!$C$2:$C$7)</f>
        <v>700</v>
      </c>
      <c r="H178">
        <f t="shared" si="2"/>
        <v>1400</v>
      </c>
    </row>
    <row r="179" spans="1:8">
      <c r="A179" s="2" t="s">
        <v>201</v>
      </c>
      <c r="B179" s="3">
        <v>46321</v>
      </c>
      <c r="C179" s="2" t="s">
        <v>10</v>
      </c>
      <c r="D179" s="2" t="s">
        <v>22</v>
      </c>
      <c r="E179" s="2" t="s">
        <v>30</v>
      </c>
      <c r="F179" s="2">
        <v>11</v>
      </c>
      <c r="G179">
        <f>_xlfn.XLOOKUP(E179, products!$A$2:$A$7, products!$C$2:$C$7)</f>
        <v>3200</v>
      </c>
      <c r="H179">
        <f t="shared" si="2"/>
        <v>35200</v>
      </c>
    </row>
    <row r="180" spans="1:8">
      <c r="A180" s="2" t="s">
        <v>202</v>
      </c>
      <c r="B180" s="3">
        <v>46321</v>
      </c>
      <c r="C180" s="2" t="s">
        <v>24</v>
      </c>
      <c r="D180" s="2" t="s">
        <v>22</v>
      </c>
      <c r="E180" s="2" t="s">
        <v>19</v>
      </c>
      <c r="F180" s="2">
        <v>12</v>
      </c>
      <c r="G180">
        <f>_xlfn.XLOOKUP(E180, products!$A$2:$A$7, products!$C$2:$C$7)</f>
        <v>700</v>
      </c>
      <c r="H180">
        <f t="shared" si="2"/>
        <v>8400</v>
      </c>
    </row>
    <row r="181" spans="1:8">
      <c r="A181" s="2" t="s">
        <v>203</v>
      </c>
      <c r="B181" s="3">
        <v>46321</v>
      </c>
      <c r="C181" s="2" t="s">
        <v>24</v>
      </c>
      <c r="D181" s="2" t="s">
        <v>17</v>
      </c>
      <c r="E181" s="2" t="s">
        <v>30</v>
      </c>
      <c r="F181" s="2">
        <v>4</v>
      </c>
      <c r="G181">
        <f>_xlfn.XLOOKUP(E181, products!$A$2:$A$7, products!$C$2:$C$7)</f>
        <v>3200</v>
      </c>
      <c r="H181">
        <f t="shared" si="2"/>
        <v>12800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C14" sqref="C14"/>
    </sheetView>
  </sheetViews>
  <sheetFormatPr defaultRowHeight="15"/>
  <cols>
    <col min="1" max="1" width="22" customWidth="1"/>
    <col min="2" max="2" width="12" customWidth="1"/>
    <col min="3" max="4" width="18" customWidth="1"/>
  </cols>
  <sheetData>
    <row r="1" spans="1:4">
      <c r="A1" s="1" t="s">
        <v>4</v>
      </c>
      <c r="B1" s="1" t="s">
        <v>204</v>
      </c>
      <c r="C1" s="1" t="s">
        <v>205</v>
      </c>
      <c r="D1" s="1" t="s">
        <v>206</v>
      </c>
    </row>
    <row r="2" spans="1:4">
      <c r="A2" s="2" t="s">
        <v>33</v>
      </c>
      <c r="B2" s="2" t="s">
        <v>207</v>
      </c>
      <c r="C2" s="2">
        <v>4500</v>
      </c>
      <c r="D2" s="2">
        <v>3600</v>
      </c>
    </row>
    <row r="3" spans="1:4">
      <c r="A3" s="2" t="s">
        <v>25</v>
      </c>
      <c r="B3" s="2" t="s">
        <v>208</v>
      </c>
      <c r="C3" s="2">
        <v>1800</v>
      </c>
      <c r="D3" s="2">
        <v>1400</v>
      </c>
    </row>
    <row r="4" spans="1:4">
      <c r="A4" s="2" t="s">
        <v>28</v>
      </c>
      <c r="B4" s="2" t="s">
        <v>209</v>
      </c>
      <c r="C4" s="2">
        <v>1000</v>
      </c>
      <c r="D4" s="2">
        <v>800</v>
      </c>
    </row>
    <row r="5" spans="1:4">
      <c r="A5" s="2" t="s">
        <v>12</v>
      </c>
      <c r="B5" s="2" t="s">
        <v>210</v>
      </c>
      <c r="C5" s="2">
        <v>400</v>
      </c>
      <c r="D5" s="2">
        <v>250</v>
      </c>
    </row>
    <row r="6" spans="1:4">
      <c r="A6" s="2" t="s">
        <v>30</v>
      </c>
      <c r="B6" s="2" t="s">
        <v>211</v>
      </c>
      <c r="C6" s="2">
        <v>3200</v>
      </c>
      <c r="D6" s="2">
        <v>2600</v>
      </c>
    </row>
    <row r="7" spans="1:4">
      <c r="A7" s="2" t="s">
        <v>19</v>
      </c>
      <c r="B7" s="2" t="s">
        <v>207</v>
      </c>
      <c r="C7" s="2">
        <v>700</v>
      </c>
      <c r="D7" s="2">
        <v>450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8D980-02FF-4C1C-B6F4-2602C65D3387}">
  <dimension ref="A1:F6"/>
  <sheetViews>
    <sheetView tabSelected="1" workbookViewId="0">
      <selection activeCell="F12" sqref="F12"/>
    </sheetView>
  </sheetViews>
  <sheetFormatPr defaultRowHeight="15"/>
  <cols>
    <col min="1" max="1" width="12.85546875" customWidth="1"/>
    <col min="2" max="2" width="11.42578125" customWidth="1"/>
    <col min="3" max="3" width="16.7109375" customWidth="1"/>
    <col min="6" max="6" width="18.7109375" customWidth="1"/>
  </cols>
  <sheetData>
    <row r="1" spans="1:6">
      <c r="A1" t="s">
        <v>2</v>
      </c>
      <c r="B1" t="s">
        <v>7</v>
      </c>
      <c r="D1" t="s">
        <v>3</v>
      </c>
      <c r="E1" t="s">
        <v>212</v>
      </c>
      <c r="F1" t="s">
        <v>213</v>
      </c>
    </row>
    <row r="2" spans="1:6">
      <c r="A2" t="s">
        <v>21</v>
      </c>
      <c r="B2">
        <f>SUMIFS(sales!$H$2:$H$181, sales!$C$2:$C$181, A2)</f>
        <v>424900</v>
      </c>
      <c r="D2" t="s">
        <v>22</v>
      </c>
      <c r="E2">
        <f>COUNTIFS(sales!$D$2:$D$181, D2)</f>
        <v>57</v>
      </c>
      <c r="F2" s="5">
        <f>AVERAGEIFS(sales!$H$2:$H$181, sales!$D$2:$D$181, D2)</f>
        <v>10526.315789473685</v>
      </c>
    </row>
    <row r="3" spans="1:6">
      <c r="A3" t="s">
        <v>16</v>
      </c>
      <c r="B3">
        <f>SUMIFS(sales!$H$2:$H$181, sales!$C$2:$C$181, A3)</f>
        <v>426500</v>
      </c>
      <c r="D3" t="s">
        <v>17</v>
      </c>
      <c r="E3">
        <f>COUNTIFS(sales!$D$2:$D$181, D3)</f>
        <v>46</v>
      </c>
      <c r="F3" s="5">
        <f>AVERAGEIFS(sales!$H$2:$H$181, sales!$D$2:$D$181, D3)</f>
        <v>10915.217391304348</v>
      </c>
    </row>
    <row r="4" spans="1:6">
      <c r="A4" t="s">
        <v>14</v>
      </c>
      <c r="B4">
        <f>SUMIFS(sales!$H$2:$H$181, sales!$C$2:$C$181, A4)</f>
        <v>528600</v>
      </c>
      <c r="D4" t="s">
        <v>11</v>
      </c>
      <c r="E4">
        <f>COUNTIFS(sales!$D$2:$D$181, D4)</f>
        <v>41</v>
      </c>
      <c r="F4" s="5">
        <f>AVERAGEIFS(sales!$H$2:$H$181, sales!$D$2:$D$181, D4)</f>
        <v>12553.658536585366</v>
      </c>
    </row>
    <row r="5" spans="1:6">
      <c r="A5" t="s">
        <v>10</v>
      </c>
      <c r="B5">
        <f>SUMIFS(sales!$H$2:$H$181, sales!$C$2:$C$181, A5)</f>
        <v>391100</v>
      </c>
      <c r="D5" t="s">
        <v>44</v>
      </c>
      <c r="E5">
        <f>COUNTIFS(sales!$D$2:$D$181, D5)</f>
        <v>36</v>
      </c>
      <c r="F5" s="5">
        <f>AVERAGEIFS(sales!$H$2:$H$181, sales!$D$2:$D$181, D5)</f>
        <v>14947.222222222223</v>
      </c>
    </row>
    <row r="6" spans="1:6">
      <c r="A6" t="s">
        <v>24</v>
      </c>
      <c r="B6">
        <f>SUMIFS(sales!$H$2:$H$181, sales!$C$2:$C$181, A6)</f>
        <v>383800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2026-10-26T08:54:21Z</dcterms:created>
  <dcterms:modified xsi:type="dcterms:W3CDTF">2026-10-30T11:40:14Z</dcterms:modified>
  <cp:category/>
  <cp:contentStatus/>
</cp:coreProperties>
</file>